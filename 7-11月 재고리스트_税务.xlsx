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z\Desktop\"/>
    </mc:Choice>
  </mc:AlternateContent>
  <xr:revisionPtr revIDLastSave="0" documentId="8_{60B75577-F4FA-417F-8791-E7B710A56E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Sheet1!$A$65:$F$226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65" i="1" l="1"/>
  <c r="F167" i="1" l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166" i="1"/>
  <c r="F103" i="1"/>
  <c r="F164" i="1"/>
  <c r="E67" i="1"/>
  <c r="E68" i="1"/>
  <c r="F68" i="1" s="1"/>
  <c r="E69" i="1"/>
  <c r="F69" i="1" s="1"/>
  <c r="E70" i="1"/>
  <c r="F70" i="1" s="1"/>
  <c r="E71" i="1"/>
  <c r="E72" i="1"/>
  <c r="E73" i="1"/>
  <c r="E74" i="1"/>
  <c r="F74" i="1" s="1"/>
  <c r="E75" i="1"/>
  <c r="E76" i="1"/>
  <c r="E77" i="1"/>
  <c r="E78" i="1"/>
  <c r="F78" i="1" s="1"/>
  <c r="E79" i="1"/>
  <c r="F79" i="1" s="1"/>
  <c r="E80" i="1"/>
  <c r="F80" i="1" s="1"/>
  <c r="E81" i="1"/>
  <c r="F81" i="1" s="1"/>
  <c r="E82" i="1"/>
  <c r="E83" i="1"/>
  <c r="F83" i="1" s="1"/>
  <c r="E84" i="1"/>
  <c r="F84" i="1" s="1"/>
  <c r="E85" i="1"/>
  <c r="E86" i="1"/>
  <c r="E87" i="1"/>
  <c r="E88" i="1"/>
  <c r="E89" i="1"/>
  <c r="E90" i="1"/>
  <c r="F90" i="1" s="1"/>
  <c r="E91" i="1"/>
  <c r="F91" i="1" s="1"/>
  <c r="E92" i="1"/>
  <c r="E93" i="1"/>
  <c r="E94" i="1"/>
  <c r="F94" i="1" s="1"/>
  <c r="E95" i="1"/>
  <c r="E96" i="1"/>
  <c r="E97" i="1"/>
  <c r="E98" i="1"/>
  <c r="F98" i="1" s="1"/>
  <c r="E99" i="1"/>
  <c r="F99" i="1" s="1"/>
  <c r="E100" i="1"/>
  <c r="F100" i="1" s="1"/>
  <c r="E101" i="1"/>
  <c r="E102" i="1"/>
  <c r="E104" i="1"/>
  <c r="E105" i="1"/>
  <c r="E106" i="1"/>
  <c r="E107" i="1"/>
  <c r="E108" i="1"/>
  <c r="F108" i="1" s="1"/>
  <c r="E109" i="1"/>
  <c r="F109" i="1" s="1"/>
  <c r="E110" i="1"/>
  <c r="E111" i="1"/>
  <c r="E112" i="1"/>
  <c r="E113" i="1"/>
  <c r="E114" i="1"/>
  <c r="E115" i="1"/>
  <c r="E116" i="1"/>
  <c r="E117" i="1"/>
  <c r="E118" i="1"/>
  <c r="E119" i="1"/>
  <c r="E120" i="1"/>
  <c r="F120" i="1" s="1"/>
  <c r="E121" i="1"/>
  <c r="F121" i="1" s="1"/>
  <c r="E122" i="1"/>
  <c r="F122" i="1" s="1"/>
  <c r="E123" i="1"/>
  <c r="F123" i="1" s="1"/>
  <c r="E124" i="1"/>
  <c r="E125" i="1"/>
  <c r="F125" i="1" s="1"/>
  <c r="E126" i="1"/>
  <c r="F126" i="1" s="1"/>
  <c r="E127" i="1"/>
  <c r="F127" i="1" s="1"/>
  <c r="E128" i="1"/>
  <c r="F128" i="1" s="1"/>
  <c r="E129" i="1"/>
  <c r="E130" i="1"/>
  <c r="F130" i="1" s="1"/>
  <c r="E131" i="1"/>
  <c r="F131" i="1" s="1"/>
  <c r="E132" i="1"/>
  <c r="F132" i="1" s="1"/>
  <c r="E133" i="1"/>
  <c r="F133" i="1" s="1"/>
  <c r="E134" i="1"/>
  <c r="F134" i="1" s="1"/>
  <c r="E135" i="1"/>
  <c r="F135" i="1" s="1"/>
  <c r="E136" i="1"/>
  <c r="E137" i="1"/>
  <c r="E138" i="1"/>
  <c r="E139" i="1"/>
  <c r="E140" i="1"/>
  <c r="E141" i="1"/>
  <c r="E142" i="1"/>
  <c r="E143" i="1"/>
  <c r="E144" i="1"/>
  <c r="E145" i="1"/>
  <c r="E146" i="1"/>
  <c r="E147" i="1"/>
  <c r="F147" i="1" s="1"/>
  <c r="E148" i="1"/>
  <c r="E149" i="1"/>
  <c r="E150" i="1"/>
  <c r="F150" i="1" s="1"/>
  <c r="E151" i="1"/>
  <c r="F151" i="1" s="1"/>
  <c r="E152" i="1"/>
  <c r="F152" i="1" s="1"/>
  <c r="E153" i="1"/>
  <c r="E154" i="1"/>
  <c r="E155" i="1"/>
  <c r="F155" i="1" s="1"/>
  <c r="E156" i="1"/>
  <c r="F156" i="1" s="1"/>
  <c r="E157" i="1"/>
  <c r="F157" i="1" s="1"/>
  <c r="E158" i="1"/>
  <c r="F158" i="1" s="1"/>
  <c r="E159" i="1"/>
  <c r="F159" i="1" s="1"/>
  <c r="E160" i="1"/>
  <c r="F160" i="1" s="1"/>
  <c r="E161" i="1"/>
  <c r="F161" i="1" s="1"/>
  <c r="E162" i="1"/>
  <c r="F162" i="1" s="1"/>
  <c r="E163" i="1"/>
  <c r="F163" i="1" s="1"/>
  <c r="E66" i="1"/>
  <c r="F66" i="1" s="1"/>
  <c r="E65" i="1"/>
  <c r="F65" i="1" s="1"/>
  <c r="F124" i="1" l="1"/>
  <c r="F71" i="1"/>
  <c r="F140" i="1"/>
  <c r="F137" i="1"/>
  <c r="F148" i="1"/>
  <c r="F136" i="1"/>
  <c r="F112" i="1"/>
  <c r="F88" i="1"/>
  <c r="F76" i="1"/>
  <c r="F111" i="1"/>
  <c r="F87" i="1"/>
  <c r="F75" i="1"/>
  <c r="F146" i="1"/>
  <c r="F110" i="1"/>
  <c r="F86" i="1"/>
  <c r="F145" i="1"/>
  <c r="F97" i="1"/>
  <c r="F85" i="1"/>
  <c r="F73" i="1"/>
  <c r="F144" i="1"/>
  <c r="F96" i="1"/>
  <c r="F72" i="1"/>
  <c r="F143" i="1"/>
  <c r="F119" i="1"/>
  <c r="F107" i="1"/>
  <c r="F95" i="1"/>
  <c r="F154" i="1"/>
  <c r="F142" i="1"/>
  <c r="F118" i="1"/>
  <c r="F106" i="1"/>
  <c r="F82" i="1"/>
  <c r="F153" i="1"/>
  <c r="F141" i="1"/>
  <c r="F129" i="1"/>
  <c r="F117" i="1"/>
  <c r="F105" i="1"/>
  <c r="F93" i="1"/>
  <c r="F116" i="1"/>
  <c r="F104" i="1"/>
  <c r="F92" i="1"/>
  <c r="F139" i="1"/>
  <c r="F115" i="1"/>
  <c r="F67" i="1"/>
  <c r="F138" i="1"/>
  <c r="F114" i="1"/>
  <c r="F102" i="1"/>
  <c r="F149" i="1"/>
  <c r="F113" i="1"/>
  <c r="F101" i="1"/>
  <c r="F89" i="1"/>
  <c r="F77" i="1"/>
  <c r="D63" i="1" l="1"/>
  <c r="D64" i="1" s="1"/>
</calcChain>
</file>

<file path=xl/sharedStrings.xml><?xml version="1.0" encoding="utf-8"?>
<sst xmlns="http://schemas.openxmlformats.org/spreadsheetml/2006/main" count="226" uniqueCount="122">
  <si>
    <t>바코드</t>
    <phoneticPr fontId="1" type="noConversion"/>
  </si>
  <si>
    <t>제품명</t>
    <phoneticPr fontId="1" type="noConversion"/>
  </si>
  <si>
    <t>수량</t>
    <phoneticPr fontId="1" type="noConversion"/>
  </si>
  <si>
    <t>3CE MULTI EYE COLOR PALETTE #OVERTAKE (MOOD RECIPE)</t>
  </si>
  <si>
    <t>3CE MINI MULTI EYE COLOR PALETTE #DIAMOND GLINT</t>
  </si>
  <si>
    <t>3CE SUPER SLIM WATERPROOF MASCARA #BLACK</t>
  </si>
  <si>
    <t>[SPLIT SECOND] 3CE EYE SWITCH #HIDDEN ANGLE</t>
  </si>
  <si>
    <t>3CE SQUARE MINI HAND MIRROR</t>
  </si>
  <si>
    <t>3CE SOFT MUTE PENCIL LINER #MILK NUDE</t>
  </si>
  <si>
    <t>3CE SOFT MUTE PENCIL LINER #PALE ROSEWOOD</t>
  </si>
  <si>
    <t>3CE SOFT MUTE PENCIL LINER #OATMEAL GRAY</t>
  </si>
  <si>
    <t>3CE SOFT MUTE PENCIL LINER #ACORN BROWN</t>
  </si>
  <si>
    <t>3CE Drop Glow Gel -Milder</t>
  </si>
  <si>
    <t>3CE Drop Glow Gel -Very Sure</t>
  </si>
  <si>
    <t>3CE Drop Glow Gel -Wonder</t>
  </si>
  <si>
    <t>매입단가</t>
    <phoneticPr fontId="1" type="noConversion"/>
  </si>
  <si>
    <t>소비자가격</t>
    <phoneticPr fontId="1" type="noConversion"/>
  </si>
  <si>
    <t>월</t>
    <phoneticPr fontId="1" type="noConversion"/>
  </si>
  <si>
    <t>3CE MINI MULTI EYE COLOR PALETTE #SIDE BY SIDE</t>
  </si>
  <si>
    <t>3CE NATURAL FINISH LOOSE POWDER (R)</t>
  </si>
  <si>
    <t>3CE MULTI EYE COLOR PALETTE #DELIGHTFUL</t>
  </si>
  <si>
    <t>3CE NEW TAKE EYESHADOW PALETTE #MOTION FRAME</t>
  </si>
  <si>
    <t>3CE SQUARE HAND MIRROR</t>
  </si>
  <si>
    <t>3CE PINK RUMOUR POUCH</t>
  </si>
  <si>
    <t xml:space="preserve">3CE WASH BAG_SMALL #BLACK </t>
  </si>
  <si>
    <t>3CE BLUR WATER TINT #SPOT PLAYER</t>
  </si>
  <si>
    <t>3CE BLUR WATER TINT #SEPIA</t>
  </si>
  <si>
    <t>3CE SHIMMER MAKEUP FIXER</t>
  </si>
  <si>
    <t>3CE WATER MAKE UP BASE #PURPLE</t>
  </si>
  <si>
    <t>3CE MULTI EYE COLOR PALETTE #SHOT AGAIN</t>
  </si>
  <si>
    <t>3CE POUCH_SMALL</t>
  </si>
  <si>
    <t>3CE BLUR WATER TINT #NIGHT TALK</t>
  </si>
  <si>
    <t>R/ 3CE Shine Reflector-Milky Shadow</t>
  </si>
  <si>
    <t>3CE VELVET LIP TINT #CHILDLIKE</t>
  </si>
  <si>
    <t>3CE VELVET LIP TINT #NEW NUDE</t>
  </si>
  <si>
    <t>3CE MULTI EYE COLOR PALETTE #BEACH MUSE</t>
  </si>
  <si>
    <t>3CE MINI MULTI EYE COLOR PALETTE #ALMOND FUDGE</t>
  </si>
  <si>
    <t>3CE MINI MULTI EYE COLOR PALETTE #BROWN RUM</t>
  </si>
  <si>
    <t>3CE MINI MULTI EYE COLOR PALETTE #ROSE LATTE</t>
  </si>
  <si>
    <t>3CE NATURAL FINISH LOOSE POWDER</t>
  </si>
  <si>
    <t>3CE MAKEUP FIXER MIST</t>
  </si>
  <si>
    <t>3CE EASY BROW DESIGNING PENCIL #BROWNIE BROWN</t>
  </si>
  <si>
    <t>3CE POUCH</t>
  </si>
  <si>
    <t>3CE MAKEUP FIX POWDER #CLEAR LIGHT</t>
  </si>
  <si>
    <t>R/ 3CE Shine Reflector -Softest</t>
  </si>
  <si>
    <t>3CE EASY BROW DESIGNING PENCIL #DEEP BROWN</t>
  </si>
  <si>
    <t xml:space="preserve">3CE BLUR WATER TINT #CHASING ROSE </t>
  </si>
  <si>
    <t>3CE Face Blush #Kinda Shy</t>
  </si>
  <si>
    <t>3CE BLUR WATER TINT #CASUAL AFFAIR</t>
  </si>
  <si>
    <t>3CE MOOD RECIPE FACE BLUSH #MONO PINK</t>
  </si>
  <si>
    <t>3CE HAZY LIP CLAY #WHIP RED</t>
  </si>
  <si>
    <t>3CE SKIN FIT COVER LIQUID CONCEALER</t>
  </si>
  <si>
    <t>3CE ALL-ROUNDER BROW #BROWNIE BROWN</t>
  </si>
  <si>
    <t>3CE ALL-ROUNDER BROW #DEEP BROWN</t>
  </si>
  <si>
    <t>R/3CE Shine Reflector-Rain Or Shine</t>
  </si>
  <si>
    <t>R/ 3CE Shine Reflector -Nectar</t>
  </si>
  <si>
    <t>3CE CLOUD LIP TINT #ACTIVE LADY</t>
  </si>
  <si>
    <t>3CE CLOUD LIP TINT #LIVE A LITTLE</t>
  </si>
  <si>
    <t>3CE CLOUD LIP TINT #BLOSSOM DAY</t>
  </si>
  <si>
    <t>3CE BLURRING LIQUID LIP #CLARET</t>
  </si>
  <si>
    <t>3CE MINI MULTI EYE COLOR PALETTE #CASUAL TALK</t>
  </si>
  <si>
    <t>3CE MINI MULTI EYE COLOR PALETTE #SECOND PAIR</t>
  </si>
  <si>
    <t>3CE BLUR WATER TINT #CORAL MOON</t>
  </si>
  <si>
    <t>3CE BLUR WATER TINT #PINK GUAVA</t>
  </si>
  <si>
    <t>3CE BLUR WATER TINT #PLAY OFF</t>
  </si>
  <si>
    <t>3CE BLUR WATER TINT #DOUBLE WIND</t>
  </si>
  <si>
    <t>3CE NATURAL FINISH LOOSE POWDER ®</t>
  </si>
  <si>
    <t>3CE MAKEUP FIX POWDER #FAIR</t>
  </si>
  <si>
    <t>3CE BLUR WATER TINT #FIRST LETTER</t>
  </si>
  <si>
    <t>3CE NEW TAKE EYESHADOW PALETTE #CREATIVE FILTER</t>
  </si>
  <si>
    <t>3CE CLOUD LIP TINT #CERISE</t>
  </si>
  <si>
    <t>3CE BARE COVER CUSHION #P01_SPF</t>
  </si>
  <si>
    <t>3CE BARE COVER CUSHION #N01_SPF</t>
  </si>
  <si>
    <t>3CE BARE COVER CUSHION #N02_SPF</t>
  </si>
  <si>
    <t>3CE HAZY LIP CLAY #TYPEGIRL</t>
  </si>
  <si>
    <t>3CE Drop Glow Gel -Youth</t>
  </si>
  <si>
    <t>3CE Drop Glow Gel -Raw Apple</t>
  </si>
  <si>
    <t>R/ 3CE Shine Reflector -Opal Shower</t>
  </si>
  <si>
    <t>R/ 3CE Shine Reflector -Lilac Glaze</t>
  </si>
  <si>
    <t>R/ 3CE Shine Reflector -Coldest</t>
  </si>
  <si>
    <t>3CE Lazy Pop Lip Stain -Luztic</t>
  </si>
  <si>
    <t>3CE Lazy Pop Lip Stain -Coolest</t>
  </si>
  <si>
    <t>3CE Lazy Pop Lip Stain -Yay Or Nay</t>
  </si>
  <si>
    <t>3CE Lazy Pop Lip Stain -Spiced Up</t>
  </si>
  <si>
    <t>3CE Lazy Pop Lip Stain -Tan</t>
  </si>
  <si>
    <t>3CE Fitting Mesh Cushion -P01</t>
  </si>
  <si>
    <t>3CE Fitting Mesh Cushion -N01</t>
  </si>
  <si>
    <t>3CE Fitting Mesh Cushion -N02</t>
  </si>
  <si>
    <t>3CE Fitting Mesh Cushion -N03</t>
  </si>
  <si>
    <t>3CE Fitting Mesh Cushion -W04</t>
  </si>
  <si>
    <t>3CE Fitting Mesh Cushion -W05</t>
  </si>
  <si>
    <t>3CE Multi Eye Color Palette -Knotted Pink /24.PINKASINO.D11</t>
  </si>
  <si>
    <t>3CE New Take Eyeshadow Palette -Quiet Brown /24.PINKASINO.D11</t>
  </si>
  <si>
    <t>3CE New Take Face Blusher -Soft Whisper /24.PINKASINO.D11</t>
  </si>
  <si>
    <t>3CE Eye Switch -Icy White /24.PINKASINO.D11</t>
  </si>
  <si>
    <t>3CE Eye Switch -Starry Blue /24.PINKASINO.D11</t>
  </si>
  <si>
    <t>3CE Eye Switch -Pink Sheen /24.PINKASINO.D11</t>
  </si>
  <si>
    <t>3CE Drop Glow Gel -Mauve Call /24.PINKASINO.D11</t>
  </si>
  <si>
    <t>3CE Drop Glow Gel -Inspired /24.PINKASINO.D11</t>
  </si>
  <si>
    <t>3CE Face Blush -Pink Filter /24.PINKASINO.D11</t>
  </si>
  <si>
    <t>3CE Face Blush -City Mauve /24.PINKASINO.D11</t>
  </si>
  <si>
    <t>3CE Hazy Lip Clay -Warm Brownie /24.PINKASINO.D11</t>
  </si>
  <si>
    <t>3CE Hazy Lip Clay -No Regrets /24.PINKASINO.D11</t>
  </si>
  <si>
    <t xml:space="preserve">3CE SHEER LIQUID BLUSHER #SIDE PIECE </t>
  </si>
  <si>
    <t>3CE SHEER LIQUID BLUSHER #JOYFUL AFFAIR</t>
  </si>
  <si>
    <t>3CE VELVET LIQUID BLUSHER #CLASSIC MOOD</t>
  </si>
  <si>
    <t xml:space="preserve">3CE WASH BAG_SMALL #PINK BEIGE </t>
  </si>
  <si>
    <t>3CE Cashmerehug Lipstick PB 02 ENKR</t>
  </si>
  <si>
    <t>3CE Cashmerehug Lipstick TM 04 ENKR</t>
  </si>
  <si>
    <t>3CE Cashmerehug Lipstick OA 01 ENKR</t>
  </si>
  <si>
    <t>3CE Cashmerehug Lipstick YS 03 ENKR</t>
  </si>
  <si>
    <t>3CE Cashmerehug Lipstick CW 05 ENKR</t>
  </si>
  <si>
    <t>3CE Cashmerehug Lipstick BU 06 ENKR</t>
  </si>
  <si>
    <t>3CE Cashmerehug Lipstick HR 08 ENKR</t>
  </si>
  <si>
    <t>3CE Face Blush #Kinda Shy</t>
    <phoneticPr fontId="1" type="noConversion"/>
  </si>
  <si>
    <t>3CE Multi Eye Color Palette -Knotted Pink /24.PINKASINO.D11</t>
    <phoneticPr fontId="1" type="noConversion"/>
  </si>
  <si>
    <t>3CE New Take Eyeshadow Palette -Quiet Brown /24.PINKASINO.D11</t>
    <phoneticPr fontId="1" type="noConversion"/>
  </si>
  <si>
    <t>3CE Cashmerehug Lipstick TB 09 ENKR</t>
    <phoneticPr fontId="1" type="noConversion"/>
  </si>
  <si>
    <t>3CE Cashmerehug Lipstick DR 10 ENKR</t>
    <phoneticPr fontId="1" type="noConversion"/>
  </si>
  <si>
    <t>3CE Fitting Mesh Cushion -P01</t>
    <phoneticPr fontId="1" type="noConversion"/>
  </si>
  <si>
    <t>3CE Fitting Mesh Cushion -N01</t>
    <phoneticPr fontId="1" type="noConversion"/>
  </si>
  <si>
    <t>3CE Fitting Mesh Cushion -N02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</si>
</sst>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mm&quot;월&quot;\ dd&quot;일&quot;"/>
  </numFmts>
  <fonts count="5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sz val="11"/>
      <color rgb="FFFF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76" fontId="0" fillId="0" borderId="0" xfId="0" applyNumberForma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3" fontId="0" fillId="0" borderId="5" xfId="0" applyNumberFormat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176" fontId="2" fillId="2" borderId="10" xfId="0" applyNumberFormat="1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3" fontId="2" fillId="2" borderId="11" xfId="0" applyNumberFormat="1" applyFont="1" applyFill="1" applyBorder="1" applyAlignment="1">
      <alignment horizontal="center"/>
    </xf>
    <xf numFmtId="3" fontId="2" fillId="2" borderId="10" xfId="0" applyNumberFormat="1" applyFont="1" applyFill="1" applyBorder="1" applyAlignment="1">
      <alignment horizontal="center"/>
    </xf>
    <xf numFmtId="3" fontId="0" fillId="0" borderId="0" xfId="0" applyNumberFormat="1" applyBorder="1" applyAlignment="1">
      <alignment horizontal="center"/>
    </xf>
    <xf numFmtId="176" fontId="0" fillId="3" borderId="0" xfId="0" applyNumberFormat="1" applyFill="1" applyBorder="1" applyAlignment="1">
      <alignment horizontal="center"/>
    </xf>
    <xf numFmtId="0" fontId="0" fillId="3" borderId="0" xfId="0" applyFill="1" applyBorder="1"/>
    <xf numFmtId="0" fontId="0" fillId="3" borderId="0" xfId="0" applyFill="1" applyBorder="1" applyAlignment="1">
      <alignment horizontal="center"/>
    </xf>
    <xf numFmtId="3" fontId="0" fillId="3" borderId="0" xfId="0" applyNumberFormat="1" applyFill="1" applyBorder="1" applyAlignment="1">
      <alignment horizontal="center"/>
    </xf>
    <xf numFmtId="3" fontId="0" fillId="3" borderId="5" xfId="0" applyNumberFormat="1" applyFill="1" applyBorder="1" applyAlignment="1">
      <alignment horizontal="center"/>
    </xf>
    <xf numFmtId="176" fontId="0" fillId="3" borderId="2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3" fontId="0" fillId="3" borderId="2" xfId="0" applyNumberFormat="1" applyFill="1" applyBorder="1" applyAlignment="1">
      <alignment horizontal="center"/>
    </xf>
    <xf numFmtId="3" fontId="0" fillId="3" borderId="3" xfId="0" applyNumberFormat="1" applyFill="1" applyBorder="1" applyAlignment="1">
      <alignment horizontal="center"/>
    </xf>
    <xf numFmtId="176" fontId="0" fillId="4" borderId="0" xfId="0" applyNumberFormat="1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3" fontId="0" fillId="4" borderId="0" xfId="0" applyNumberFormat="1" applyFill="1" applyBorder="1" applyAlignment="1">
      <alignment horizontal="center"/>
    </xf>
    <xf numFmtId="3" fontId="0" fillId="4" borderId="5" xfId="0" applyNumberFormat="1" applyFill="1" applyBorder="1" applyAlignment="1">
      <alignment horizontal="center"/>
    </xf>
    <xf numFmtId="176" fontId="0" fillId="3" borderId="7" xfId="0" applyNumberForma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3" fontId="0" fillId="3" borderId="7" xfId="0" applyNumberFormat="1" applyFill="1" applyBorder="1" applyAlignment="1">
      <alignment horizontal="center"/>
    </xf>
    <xf numFmtId="3" fontId="0" fillId="3" borderId="8" xfId="0" applyNumberFormat="1" applyFill="1" applyBorder="1" applyAlignment="1">
      <alignment horizontal="center"/>
    </xf>
    <xf numFmtId="176" fontId="0" fillId="5" borderId="0" xfId="0" applyNumberFormat="1" applyFill="1" applyBorder="1" applyAlignment="1">
      <alignment horizontal="center"/>
    </xf>
    <xf numFmtId="0" fontId="0" fillId="5" borderId="0" xfId="0" applyFill="1" applyBorder="1"/>
    <xf numFmtId="0" fontId="0" fillId="5" borderId="0" xfId="0" applyFill="1" applyBorder="1" applyAlignment="1">
      <alignment horizontal="center"/>
    </xf>
    <xf numFmtId="3" fontId="0" fillId="5" borderId="0" xfId="0" applyNumberFormat="1" applyFill="1" applyBorder="1" applyAlignment="1">
      <alignment horizontal="center"/>
    </xf>
    <xf numFmtId="3" fontId="0" fillId="5" borderId="5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3" fontId="0" fillId="0" borderId="2" xfId="0" applyNumberForma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77" fontId="0" fillId="0" borderId="4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176" fontId="0" fillId="0" borderId="7" xfId="0" applyNumberFormat="1" applyBorder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176" fontId="0" fillId="0" borderId="2" xfId="0" applyNumberFormat="1" applyBorder="1" applyAlignment="1">
      <alignment horizontal="center"/>
    </xf>
    <xf numFmtId="0" fontId="0" fillId="0" borderId="2" xfId="0" applyBorder="1"/>
    <xf numFmtId="0" fontId="3" fillId="3" borderId="0" xfId="0" applyFont="1" applyFill="1" applyBorder="1"/>
    <xf numFmtId="0" fontId="3" fillId="4" borderId="0" xfId="0" applyFont="1" applyFill="1" applyBorder="1"/>
    <xf numFmtId="176" fontId="0" fillId="0" borderId="0" xfId="0" applyNumberFormat="1" applyFill="1" applyBorder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3" fontId="0" fillId="0" borderId="0" xfId="0" applyNumberFormat="1" applyFill="1" applyBorder="1" applyAlignment="1">
      <alignment horizontal="center"/>
    </xf>
    <xf numFmtId="3" fontId="0" fillId="0" borderId="5" xfId="0" applyNumberFormat="1" applyFill="1" applyBorder="1" applyAlignment="1">
      <alignment horizontal="center"/>
    </xf>
    <xf numFmtId="0" fontId="4" fillId="3" borderId="0" xfId="0" applyFont="1" applyFill="1" applyBorder="1"/>
    <xf numFmtId="176" fontId="0" fillId="6" borderId="0" xfId="0" applyNumberFormat="1" applyFill="1" applyBorder="1" applyAlignment="1">
      <alignment horizontal="center"/>
    </xf>
    <xf numFmtId="0" fontId="0" fillId="6" borderId="0" xfId="0" applyFill="1" applyBorder="1"/>
    <xf numFmtId="0" fontId="3" fillId="3" borderId="2" xfId="0" applyFont="1" applyFill="1" applyBorder="1"/>
    <xf numFmtId="0" fontId="3" fillId="3" borderId="7" xfId="0" applyFont="1" applyFill="1" applyBorder="1"/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z/Documents/3.&#35746;&#21333;/(241031)%203CE%20&#35746;&#21333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4.10.07"/>
    </sheetNames>
    <sheetDataSet>
      <sheetData sheetId="0">
        <row r="2">
          <cell r="E2" t="str">
            <v>EAN</v>
          </cell>
          <cell r="F2" t="str">
            <v>Style Name</v>
          </cell>
          <cell r="G2" t="str">
            <v>Color</v>
          </cell>
          <cell r="H2" t="str">
            <v>Weight</v>
          </cell>
          <cell r="I2" t="str">
            <v>Retail Price
(KRW)</v>
          </cell>
        </row>
        <row r="3">
          <cell r="E3">
            <v>8809437394193</v>
          </cell>
          <cell r="F3" t="str">
            <v>3CE MOOD RECIPE MATTE LIP COLOR #909</v>
          </cell>
          <cell r="G3">
            <v>909</v>
          </cell>
          <cell r="H3" t="str">
            <v>3.5g</v>
          </cell>
          <cell r="I3">
            <v>19000</v>
          </cell>
        </row>
        <row r="4">
          <cell r="E4">
            <v>8809437396463</v>
          </cell>
          <cell r="F4" t="str">
            <v>3CE EYE SWITCH #DOUBLE NOTE</v>
          </cell>
          <cell r="G4" t="str">
            <v>DOUBLE NOTE</v>
          </cell>
          <cell r="H4" t="str">
            <v>4.3g</v>
          </cell>
          <cell r="I4">
            <v>17000</v>
          </cell>
        </row>
        <row r="5">
          <cell r="E5">
            <v>8809437396470</v>
          </cell>
          <cell r="F5" t="str">
            <v>3CE EYE SWITCH #STUCK</v>
          </cell>
          <cell r="G5" t="str">
            <v>STUCK</v>
          </cell>
          <cell r="H5" t="str">
            <v>4.3g</v>
          </cell>
          <cell r="I5">
            <v>17000</v>
          </cell>
        </row>
        <row r="6">
          <cell r="E6">
            <v>8809437396487</v>
          </cell>
          <cell r="F6" t="str">
            <v>3CE EYE SWITCH #THROBBING</v>
          </cell>
          <cell r="G6" t="str">
            <v>THROBBING</v>
          </cell>
          <cell r="H6" t="str">
            <v>4.3g</v>
          </cell>
          <cell r="I6">
            <v>17000</v>
          </cell>
        </row>
        <row r="7">
          <cell r="E7">
            <v>8809437396593</v>
          </cell>
          <cell r="F7" t="str">
            <v>3CE VELVET LIP TINT #CHILDLIKE</v>
          </cell>
          <cell r="G7" t="str">
            <v>CHILDLIKE</v>
          </cell>
          <cell r="H7" t="str">
            <v>4g</v>
          </cell>
          <cell r="I7">
            <v>18000</v>
          </cell>
        </row>
        <row r="8">
          <cell r="E8">
            <v>8809437396609</v>
          </cell>
          <cell r="F8" t="str">
            <v>3CE VELVET LIP TINT #PINK BREAK</v>
          </cell>
          <cell r="G8" t="str">
            <v>PINK BREAK</v>
          </cell>
          <cell r="H8" t="str">
            <v>4g</v>
          </cell>
          <cell r="I8">
            <v>18000</v>
          </cell>
        </row>
        <row r="9">
          <cell r="E9">
            <v>8809437396616</v>
          </cell>
          <cell r="F9" t="str">
            <v>3CE VELVET LIP TINT #DAFFODIL</v>
          </cell>
          <cell r="G9" t="str">
            <v>DAFFODIL</v>
          </cell>
          <cell r="H9" t="str">
            <v>4g</v>
          </cell>
          <cell r="I9">
            <v>18000</v>
          </cell>
        </row>
        <row r="10">
          <cell r="E10">
            <v>8809437396623</v>
          </cell>
          <cell r="F10" t="str">
            <v>3CE VELVET LIP TINT #GOING RIGHT</v>
          </cell>
          <cell r="G10" t="str">
            <v>GOING RIGHT</v>
          </cell>
          <cell r="H10" t="str">
            <v>4g</v>
          </cell>
          <cell r="I10">
            <v>18000</v>
          </cell>
        </row>
        <row r="11">
          <cell r="E11">
            <v>8809437396630</v>
          </cell>
          <cell r="F11" t="str">
            <v>3CE VELVET LIP TINT #PRIVATE</v>
          </cell>
          <cell r="G11" t="str">
            <v>PRIVATE</v>
          </cell>
          <cell r="H11" t="str">
            <v>4g</v>
          </cell>
          <cell r="I11">
            <v>18000</v>
          </cell>
        </row>
        <row r="12">
          <cell r="E12">
            <v>8809437396654</v>
          </cell>
          <cell r="F12" t="str">
            <v>3CE VELVET LIP TINT #NEW NUDE</v>
          </cell>
          <cell r="G12" t="str">
            <v>NEW NUDE</v>
          </cell>
          <cell r="H12" t="str">
            <v>4g</v>
          </cell>
          <cell r="I12">
            <v>18000</v>
          </cell>
        </row>
        <row r="13">
          <cell r="E13">
            <v>8809437396678</v>
          </cell>
          <cell r="F13" t="str">
            <v>3CE VELVET LIP TINT #TAUPE</v>
          </cell>
          <cell r="G13" t="str">
            <v>TAUPE</v>
          </cell>
          <cell r="H13" t="str">
            <v>4g</v>
          </cell>
          <cell r="I13">
            <v>18000</v>
          </cell>
        </row>
        <row r="14">
          <cell r="E14">
            <v>8809437396685</v>
          </cell>
          <cell r="F14" t="str">
            <v>3CE VELVET LIP TINT #BEST EVER</v>
          </cell>
          <cell r="G14" t="str">
            <v>BEST EVER</v>
          </cell>
          <cell r="H14" t="str">
            <v>4g</v>
          </cell>
          <cell r="I14">
            <v>18000</v>
          </cell>
        </row>
        <row r="15">
          <cell r="E15">
            <v>8809437396715</v>
          </cell>
          <cell r="F15" t="str">
            <v>3CE MOOD RECIPE MATTE LIP COLOR #219</v>
          </cell>
          <cell r="G15">
            <v>219</v>
          </cell>
          <cell r="H15" t="str">
            <v>3.5g</v>
          </cell>
          <cell r="I15">
            <v>19000</v>
          </cell>
        </row>
        <row r="16">
          <cell r="E16">
            <v>8809437396722</v>
          </cell>
          <cell r="F16" t="str">
            <v>3CE MOOD RECIPE MATTE LIP COLOR #220</v>
          </cell>
          <cell r="G16">
            <v>220</v>
          </cell>
          <cell r="H16" t="str">
            <v>3.5g</v>
          </cell>
          <cell r="I16">
            <v>19000</v>
          </cell>
        </row>
        <row r="17">
          <cell r="E17">
            <v>8809437396739</v>
          </cell>
          <cell r="F17" t="str">
            <v>3CE MOOD RECIPE MATTE LIP COLOR #221</v>
          </cell>
          <cell r="G17">
            <v>221</v>
          </cell>
          <cell r="H17" t="str">
            <v>3.5g</v>
          </cell>
          <cell r="I17">
            <v>19000</v>
          </cell>
        </row>
        <row r="18">
          <cell r="E18">
            <v>8809437396746</v>
          </cell>
          <cell r="F18" t="str">
            <v>3CE MOOD RECIPE MATTE LIP COLOR #222</v>
          </cell>
          <cell r="G18">
            <v>222</v>
          </cell>
          <cell r="H18" t="str">
            <v>3.5g</v>
          </cell>
          <cell r="I18">
            <v>19000</v>
          </cell>
        </row>
        <row r="19">
          <cell r="E19">
            <v>8809437396753</v>
          </cell>
          <cell r="F19" t="str">
            <v>3CE MOOD RECIPE FACE BLUSH #NUDE PEACH</v>
          </cell>
          <cell r="G19" t="str">
            <v>NUDE PEACH</v>
          </cell>
          <cell r="H19" t="str">
            <v>5.5g</v>
          </cell>
          <cell r="I19">
            <v>18000</v>
          </cell>
        </row>
        <row r="20">
          <cell r="E20">
            <v>8809437396760</v>
          </cell>
          <cell r="F20" t="str">
            <v>3CE MOOD RECIPE FACE BLUSH #MONO PINK</v>
          </cell>
          <cell r="G20" t="str">
            <v>MONO PINK</v>
          </cell>
          <cell r="H20" t="str">
            <v>5.5g</v>
          </cell>
          <cell r="I20">
            <v>18000</v>
          </cell>
        </row>
        <row r="21">
          <cell r="E21">
            <v>8809437396777</v>
          </cell>
          <cell r="F21" t="str">
            <v>3CE MOOD RECIPE FACE BLUSH #ROSE BEIGE</v>
          </cell>
          <cell r="G21" t="str">
            <v>ROSE BEIGE</v>
          </cell>
          <cell r="H21" t="str">
            <v>5.5g</v>
          </cell>
          <cell r="I21">
            <v>18000</v>
          </cell>
        </row>
        <row r="22">
          <cell r="E22">
            <v>8809437396784</v>
          </cell>
          <cell r="F22" t="str">
            <v>3CE MOOD RECIPE MULTI EYE COLOR PALETTE #SMOOTHER</v>
          </cell>
          <cell r="G22" t="str">
            <v>SMOOTHER</v>
          </cell>
          <cell r="H22" t="str">
            <v>8.1g</v>
          </cell>
          <cell r="I22">
            <v>39000</v>
          </cell>
        </row>
        <row r="23">
          <cell r="E23">
            <v>8809664987939</v>
          </cell>
          <cell r="F23" t="str">
            <v>3CE MULTI EYE COLOR PALETTE #OVERTAKE (MOOD RECIPE)</v>
          </cell>
          <cell r="G23" t="str">
            <v xml:space="preserve">OVERTAKE </v>
          </cell>
          <cell r="H23" t="str">
            <v>8.1g</v>
          </cell>
          <cell r="I23">
            <v>39000</v>
          </cell>
        </row>
        <row r="24">
          <cell r="E24">
            <v>8809437394179</v>
          </cell>
          <cell r="F24" t="str">
            <v>3CE MOOD RECIPE MATTE LIP COLOR #116</v>
          </cell>
          <cell r="G24">
            <v>116</v>
          </cell>
          <cell r="H24" t="str">
            <v>3.5g</v>
          </cell>
          <cell r="I24">
            <v>19000</v>
          </cell>
        </row>
        <row r="25">
          <cell r="E25">
            <v>8809664984761</v>
          </cell>
          <cell r="F25" t="str">
            <v>3CE Syrup Layering Tint #Afternoon Peach</v>
          </cell>
          <cell r="G25" t="str">
            <v>Afternoon Peach</v>
          </cell>
          <cell r="H25" t="str">
            <v>4.7 g</v>
          </cell>
          <cell r="I25">
            <v>18000</v>
          </cell>
        </row>
        <row r="26">
          <cell r="E26">
            <v>8809664984785</v>
          </cell>
          <cell r="F26" t="str">
            <v>3CE Syrup Layering Tint #Alive Pink</v>
          </cell>
          <cell r="G26" t="str">
            <v>Alive Pink</v>
          </cell>
          <cell r="H26" t="str">
            <v>4.7 g</v>
          </cell>
          <cell r="I26">
            <v>18000</v>
          </cell>
        </row>
        <row r="27">
          <cell r="E27">
            <v>8809664984808</v>
          </cell>
          <cell r="F27" t="str">
            <v>3CE Syrup Layering Tint #Sober Fig</v>
          </cell>
          <cell r="G27" t="str">
            <v>Sober Fig</v>
          </cell>
          <cell r="H27" t="str">
            <v>4.7 g</v>
          </cell>
          <cell r="I27">
            <v>18000</v>
          </cell>
        </row>
        <row r="28">
          <cell r="E28">
            <v>8809437397583</v>
          </cell>
          <cell r="F28" t="str">
            <v>3CE Soft Lip Lacquer #Null Set</v>
          </cell>
          <cell r="G28" t="str">
            <v>Null Set</v>
          </cell>
          <cell r="H28" t="str">
            <v>6g</v>
          </cell>
          <cell r="I28">
            <v>15000</v>
          </cell>
        </row>
        <row r="29">
          <cell r="E29">
            <v>8809664982293</v>
          </cell>
          <cell r="F29" t="str">
            <v>3CE SOFT MATTE LIPSTICK #HOLY CHIC</v>
          </cell>
          <cell r="G29" t="str">
            <v>HOLY CHIC</v>
          </cell>
          <cell r="H29" t="str">
            <v>3.5 g</v>
          </cell>
          <cell r="I29">
            <v>19000</v>
          </cell>
        </row>
        <row r="30">
          <cell r="E30">
            <v>8809664983375</v>
          </cell>
          <cell r="F30" t="str">
            <v xml:space="preserve">3CE SOFT MATTE LIPSTICK #SOFT MELLOW </v>
          </cell>
          <cell r="G30" t="str">
            <v xml:space="preserve">SOFT MELLOW </v>
          </cell>
          <cell r="H30" t="str">
            <v>3.5 g</v>
          </cell>
          <cell r="I30">
            <v>19000</v>
          </cell>
        </row>
        <row r="31">
          <cell r="E31">
            <v>8809664987878</v>
          </cell>
          <cell r="F31" t="str">
            <v>3CE SOFT MATTE LIPSTICK #AZURE PINK</v>
          </cell>
          <cell r="G31" t="str">
            <v>AZURE PINK</v>
          </cell>
          <cell r="H31" t="str">
            <v>3.5 g</v>
          </cell>
          <cell r="I31">
            <v>19000</v>
          </cell>
        </row>
        <row r="32">
          <cell r="E32">
            <v>8809664987885</v>
          </cell>
          <cell r="F32" t="str">
            <v>3CE SOFT MATTE LIPSTICK #BREEZY PINK</v>
          </cell>
          <cell r="G32" t="str">
            <v>BREEZY PINK</v>
          </cell>
          <cell r="H32" t="str">
            <v>3.5 g</v>
          </cell>
          <cell r="I32">
            <v>19000</v>
          </cell>
        </row>
        <row r="33">
          <cell r="E33">
            <v>8809664987892</v>
          </cell>
          <cell r="F33" t="str">
            <v>3CE SOFT MATTE LIPSTICK #PALE POSY</v>
          </cell>
          <cell r="G33" t="str">
            <v>ALE POSY</v>
          </cell>
          <cell r="H33" t="str">
            <v>3.5 g</v>
          </cell>
          <cell r="I33">
            <v>19000</v>
          </cell>
        </row>
        <row r="34">
          <cell r="E34">
            <v>8809437397521</v>
          </cell>
          <cell r="F34" t="str">
            <v>3CE VELVET LIP TINT #KNOW BETTER</v>
          </cell>
          <cell r="G34" t="str">
            <v>KNOW BETTER</v>
          </cell>
          <cell r="H34" t="str">
            <v>4g</v>
          </cell>
          <cell r="I34">
            <v>18000</v>
          </cell>
        </row>
        <row r="35">
          <cell r="E35">
            <v>8809437399129</v>
          </cell>
          <cell r="F35" t="str">
            <v xml:space="preserve">3CE MATTE LIP COLOR #227 </v>
          </cell>
          <cell r="G35">
            <v>227</v>
          </cell>
          <cell r="H35" t="str">
            <v>3.5g</v>
          </cell>
          <cell r="I35">
            <v>19000</v>
          </cell>
        </row>
        <row r="36">
          <cell r="E36">
            <v>8809437399136</v>
          </cell>
          <cell r="F36" t="str">
            <v>3CE MATTE LIP COLOR #228</v>
          </cell>
          <cell r="G36">
            <v>228</v>
          </cell>
          <cell r="H36" t="str">
            <v>3.5g</v>
          </cell>
          <cell r="I36">
            <v>19000</v>
          </cell>
        </row>
        <row r="37">
          <cell r="E37">
            <v>8809437399662</v>
          </cell>
          <cell r="F37" t="str">
            <v>3CE MULTI EYE COLOR PALETTE #BEACH MUSE</v>
          </cell>
          <cell r="G37" t="str">
            <v>BEACH MUSE</v>
          </cell>
          <cell r="H37" t="str">
            <v>8.2g</v>
          </cell>
          <cell r="I37">
            <v>39000</v>
          </cell>
        </row>
        <row r="38">
          <cell r="E38">
            <v>8809437399679</v>
          </cell>
          <cell r="F38" t="str">
            <v xml:space="preserve">3CE FACE BLUSH #SOFT SALMON </v>
          </cell>
          <cell r="G38" t="str">
            <v xml:space="preserve">SOFT SALMON </v>
          </cell>
          <cell r="H38" t="str">
            <v>5g</v>
          </cell>
          <cell r="I38">
            <v>18000</v>
          </cell>
        </row>
        <row r="39">
          <cell r="E39">
            <v>8809437399686</v>
          </cell>
          <cell r="F39" t="str">
            <v>3CE FACE BLUSH #PEACH SPLASH</v>
          </cell>
          <cell r="G39" t="str">
            <v>PEACH SPLASH</v>
          </cell>
          <cell r="H39" t="str">
            <v>5g</v>
          </cell>
          <cell r="I39">
            <v>18000</v>
          </cell>
        </row>
        <row r="40">
          <cell r="E40">
            <v>8809437399693</v>
          </cell>
          <cell r="F40" t="str">
            <v>3CE FACE BLUSH #PURE CAKE</v>
          </cell>
          <cell r="G40" t="str">
            <v>PURE CAKE</v>
          </cell>
          <cell r="H40" t="str">
            <v>5g</v>
          </cell>
          <cell r="I40">
            <v>18000</v>
          </cell>
        </row>
        <row r="41">
          <cell r="E41">
            <v>8809437399709</v>
          </cell>
          <cell r="F41" t="str">
            <v>3CE FACE BLUSH #DELECTABLE</v>
          </cell>
          <cell r="G41" t="str">
            <v>DELECTABLE</v>
          </cell>
          <cell r="H41" t="str">
            <v>5g</v>
          </cell>
          <cell r="I41">
            <v>18000</v>
          </cell>
        </row>
        <row r="42">
          <cell r="E42">
            <v>8809437399914</v>
          </cell>
          <cell r="F42" t="str">
            <v>3CE EYE SWITCH #PETAL</v>
          </cell>
          <cell r="G42" t="str">
            <v>PETAL</v>
          </cell>
          <cell r="H42" t="str">
            <v>4.3g</v>
          </cell>
          <cell r="I42">
            <v>17000</v>
          </cell>
        </row>
        <row r="43">
          <cell r="E43">
            <v>8809664980374</v>
          </cell>
          <cell r="F43" t="str">
            <v>3CE MULTI EYE COLOR PALETTE #DRY BOUQUET</v>
          </cell>
          <cell r="G43" t="str">
            <v>DRY BOUQUET</v>
          </cell>
          <cell r="H43" t="str">
            <v>8.6 g</v>
          </cell>
          <cell r="I43">
            <v>39000</v>
          </cell>
        </row>
        <row r="44">
          <cell r="E44">
            <v>8809437399990</v>
          </cell>
          <cell r="F44" t="str">
            <v>3CE CLOUD LIP TINT #ACTIVE LADY</v>
          </cell>
          <cell r="G44" t="str">
            <v>ACTIVE LADY</v>
          </cell>
          <cell r="H44" t="str">
            <v>4g</v>
          </cell>
          <cell r="I44">
            <v>18000</v>
          </cell>
        </row>
        <row r="45">
          <cell r="E45">
            <v>8809664980015</v>
          </cell>
          <cell r="F45" t="str">
            <v>3CE CLOUD LIP TINT #PEACH TEASE</v>
          </cell>
          <cell r="G45" t="str">
            <v xml:space="preserve"> PEACH TEASE</v>
          </cell>
          <cell r="H45" t="str">
            <v>4g</v>
          </cell>
          <cell r="I45">
            <v>18000</v>
          </cell>
        </row>
        <row r="46">
          <cell r="E46">
            <v>8809664980022</v>
          </cell>
          <cell r="F46" t="str">
            <v>3CE CLOUD LIP TINT #NEEDFUL</v>
          </cell>
          <cell r="G46" t="str">
            <v xml:space="preserve"> NEEDFUL</v>
          </cell>
          <cell r="H46" t="str">
            <v>4g</v>
          </cell>
          <cell r="I46">
            <v>18000</v>
          </cell>
        </row>
        <row r="47">
          <cell r="E47">
            <v>8809664980039</v>
          </cell>
          <cell r="F47" t="str">
            <v>3CE CLOUD LIP TINT #MACARON RED</v>
          </cell>
          <cell r="G47" t="str">
            <v>MACARON RED</v>
          </cell>
          <cell r="H47" t="str">
            <v>4g</v>
          </cell>
          <cell r="I47">
            <v>18000</v>
          </cell>
        </row>
        <row r="48">
          <cell r="E48">
            <v>8809664980046</v>
          </cell>
          <cell r="F48" t="str">
            <v>3CE CLOUD LIP TINT #IMMANENCE</v>
          </cell>
          <cell r="G48" t="str">
            <v>IMMANENCE</v>
          </cell>
          <cell r="H48" t="str">
            <v>4g</v>
          </cell>
          <cell r="I48">
            <v>18000</v>
          </cell>
        </row>
        <row r="49">
          <cell r="E49">
            <v>8809664980053</v>
          </cell>
          <cell r="F49" t="str">
            <v>3CE CLOUD LIP TINT #LIVE A LITTLE</v>
          </cell>
          <cell r="G49" t="str">
            <v>LIVE A LITTLE</v>
          </cell>
          <cell r="H49" t="str">
            <v>4g</v>
          </cell>
          <cell r="I49">
            <v>18000</v>
          </cell>
        </row>
        <row r="50">
          <cell r="E50">
            <v>8809664980084</v>
          </cell>
          <cell r="F50" t="str">
            <v>3CE CLOUD LIP TINT #BLOSSOM DAY</v>
          </cell>
          <cell r="G50" t="str">
            <v>BLOSSOM DAY</v>
          </cell>
          <cell r="H50" t="str">
            <v>4g</v>
          </cell>
          <cell r="I50">
            <v>18000</v>
          </cell>
        </row>
        <row r="51">
          <cell r="E51">
            <v>8809664981104</v>
          </cell>
          <cell r="F51" t="str">
            <v>[MATTE] 3CE LIP COLOR #231 BAKED ORANGE</v>
          </cell>
          <cell r="G51" t="str">
            <v>#231 BAKED ORANGE</v>
          </cell>
          <cell r="H51" t="str">
            <v>3.5g</v>
          </cell>
          <cell r="I51">
            <v>19000</v>
          </cell>
        </row>
        <row r="52">
          <cell r="E52">
            <v>8809664980381</v>
          </cell>
          <cell r="F52" t="str">
            <v>3CE VELVET LIP TINT #SPEAK UP</v>
          </cell>
          <cell r="G52" t="str">
            <v>SPEAK UP</v>
          </cell>
          <cell r="H52" t="str">
            <v>4g</v>
          </cell>
          <cell r="I52">
            <v>18000</v>
          </cell>
        </row>
        <row r="53">
          <cell r="E53">
            <v>8809664981449</v>
          </cell>
          <cell r="F53" t="str">
            <v>3CE VELVET LIP TINT #THINK AGAIN</v>
          </cell>
          <cell r="G53" t="str">
            <v>THINK AGAIN</v>
          </cell>
          <cell r="H53" t="str">
            <v>4g</v>
          </cell>
          <cell r="I53">
            <v>18000</v>
          </cell>
        </row>
        <row r="54">
          <cell r="E54">
            <v>8809664980886</v>
          </cell>
          <cell r="F54" t="str">
            <v>3CE MINI MULTI EYE COLOR PALETTE #ALMOND FUDGE</v>
          </cell>
          <cell r="G54" t="str">
            <v>ALMOND FUDGE</v>
          </cell>
          <cell r="H54" t="str">
            <v>3.2 g</v>
          </cell>
          <cell r="I54">
            <v>24000</v>
          </cell>
        </row>
        <row r="55">
          <cell r="E55">
            <v>8809664980909</v>
          </cell>
          <cell r="F55" t="str">
            <v>3CE MINI MULTI EYE COLOR PALETTE #SIDE BY SIDE</v>
          </cell>
          <cell r="G55" t="str">
            <v>SIDE BY SIDE</v>
          </cell>
          <cell r="H55" t="str">
            <v>3.2 g</v>
          </cell>
          <cell r="I55">
            <v>24000</v>
          </cell>
        </row>
        <row r="56">
          <cell r="E56">
            <v>8809664980916</v>
          </cell>
          <cell r="F56" t="str">
            <v>3CE MINI MULTI EYE COLOR PALETTE #BROWN RUM</v>
          </cell>
          <cell r="G56" t="str">
            <v>BROWN RUM</v>
          </cell>
          <cell r="H56" t="str">
            <v>3.5 g</v>
          </cell>
          <cell r="I56">
            <v>24000</v>
          </cell>
        </row>
        <row r="57">
          <cell r="E57">
            <v>8809664980947</v>
          </cell>
          <cell r="F57" t="str">
            <v>3CE MINI MULTI EYE COLOR PALETTE #DIAMOND GLINT</v>
          </cell>
          <cell r="G57" t="str">
            <v>DIAMOND GLINT</v>
          </cell>
          <cell r="H57" t="str">
            <v>3.2 g</v>
          </cell>
          <cell r="I57">
            <v>26000</v>
          </cell>
        </row>
        <row r="58">
          <cell r="E58">
            <v>8809664982682</v>
          </cell>
          <cell r="F58" t="str">
            <v>3CE BLURRING LIQUID LIP #PULL OFF</v>
          </cell>
          <cell r="G58" t="str">
            <v>PULL OFF</v>
          </cell>
          <cell r="H58" t="str">
            <v>5.5g</v>
          </cell>
          <cell r="I58">
            <v>18000</v>
          </cell>
        </row>
        <row r="59">
          <cell r="E59">
            <v>8809664982699</v>
          </cell>
          <cell r="F59" t="str">
            <v>3CE BLURRING LIQUID LIP #STAY AWAY</v>
          </cell>
          <cell r="G59" t="str">
            <v>STAY AWAY</v>
          </cell>
          <cell r="H59" t="str">
            <v>5.5g</v>
          </cell>
          <cell r="I59">
            <v>18000</v>
          </cell>
        </row>
        <row r="60">
          <cell r="E60">
            <v>8809664982705</v>
          </cell>
          <cell r="F60" t="str">
            <v>3CE BLURRING LIQUID LIP #CLARET</v>
          </cell>
          <cell r="G60" t="str">
            <v>CLARET</v>
          </cell>
          <cell r="H60" t="str">
            <v>5.5g</v>
          </cell>
          <cell r="I60">
            <v>18000</v>
          </cell>
        </row>
        <row r="61">
          <cell r="E61">
            <v>8809664982712</v>
          </cell>
          <cell r="F61" t="str">
            <v>3CE BLURRING LIQUID LIP #START NOW</v>
          </cell>
          <cell r="G61" t="str">
            <v>START NOW</v>
          </cell>
          <cell r="H61" t="str">
            <v>5.5g</v>
          </cell>
          <cell r="I61">
            <v>18000</v>
          </cell>
        </row>
        <row r="62">
          <cell r="E62">
            <v>8809664982750</v>
          </cell>
          <cell r="F62" t="str">
            <v>3CE BLURRING LIQUID LIP #NUDE SCENE</v>
          </cell>
          <cell r="G62" t="str">
            <v>NUDE SCENE</v>
          </cell>
          <cell r="H62" t="str">
            <v>5.5g</v>
          </cell>
          <cell r="I62">
            <v>18000</v>
          </cell>
        </row>
        <row r="63">
          <cell r="E63">
            <v>8809664982767</v>
          </cell>
          <cell r="F63" t="str">
            <v>3CE BLURRING LIQUID LIP #BEARBERRY</v>
          </cell>
          <cell r="G63" t="str">
            <v>BEARBERRY</v>
          </cell>
          <cell r="H63" t="str">
            <v>5.5g</v>
          </cell>
          <cell r="I63">
            <v>18000</v>
          </cell>
        </row>
        <row r="64">
          <cell r="E64">
            <v>8809664982811</v>
          </cell>
          <cell r="F64" t="str">
            <v>3CE LIQUID PRIMER EYE SHADOW #TO STAY</v>
          </cell>
          <cell r="G64" t="str">
            <v>TO STAY</v>
          </cell>
          <cell r="H64" t="str">
            <v>3.6ml</v>
          </cell>
          <cell r="I64">
            <v>15000</v>
          </cell>
        </row>
        <row r="65">
          <cell r="E65">
            <v>8809664982927</v>
          </cell>
          <cell r="F65" t="str">
            <v>3CE MINI MULTI EYE COLOR PALETTE #CASUAL TALK</v>
          </cell>
          <cell r="G65" t="str">
            <v>CASUAL TALK</v>
          </cell>
          <cell r="H65" t="str">
            <v>3.5 g</v>
          </cell>
          <cell r="I65">
            <v>24000</v>
          </cell>
        </row>
        <row r="66">
          <cell r="E66">
            <v>8809664982934</v>
          </cell>
          <cell r="F66" t="str">
            <v>3CE MINI MULTI EYE COLOR PALETTE #SECOND PAIR</v>
          </cell>
          <cell r="G66" t="str">
            <v>SECOND PAIR</v>
          </cell>
          <cell r="H66" t="str">
            <v>3.5 g</v>
          </cell>
          <cell r="I66">
            <v>24000</v>
          </cell>
        </row>
        <row r="67">
          <cell r="E67">
            <v>8809664982910</v>
          </cell>
          <cell r="F67" t="str">
            <v>3CE MINI MULTI EYE COLOR PALETTE #FLAT CALL</v>
          </cell>
          <cell r="G67" t="str">
            <v>FLAT CALL</v>
          </cell>
          <cell r="H67" t="str">
            <v>3.5 g</v>
          </cell>
          <cell r="I67">
            <v>24000</v>
          </cell>
        </row>
        <row r="68">
          <cell r="E68">
            <v>8809664983672</v>
          </cell>
          <cell r="F68" t="str">
            <v xml:space="preserve">3CE MULTI EYE COLOR PALETTE #DEAR NUDE (R) </v>
          </cell>
          <cell r="G68" t="str">
            <v>DEAR NUDE</v>
          </cell>
          <cell r="H68" t="str">
            <v>8.5 g</v>
          </cell>
          <cell r="I68">
            <v>39000</v>
          </cell>
        </row>
        <row r="69">
          <cell r="E69">
            <v>8809664982644</v>
          </cell>
          <cell r="F69" t="str">
            <v>3CE GLAZE LIP TINT #NEW MOTION</v>
          </cell>
          <cell r="G69" t="str">
            <v>NEW MOTION</v>
          </cell>
          <cell r="H69" t="str">
            <v>5g</v>
          </cell>
          <cell r="I69">
            <v>15000</v>
          </cell>
        </row>
        <row r="70">
          <cell r="E70">
            <v>8809664982668</v>
          </cell>
          <cell r="F70" t="str">
            <v>3CE GLAZE LIP TINT #VINTAGE BOUQUET</v>
          </cell>
          <cell r="G70" t="str">
            <v>VINTAGE BOUQUET</v>
          </cell>
          <cell r="H70" t="str">
            <v>5g</v>
          </cell>
          <cell r="I70">
            <v>15000</v>
          </cell>
        </row>
        <row r="71">
          <cell r="E71">
            <v>8809664982613</v>
          </cell>
          <cell r="F71" t="str">
            <v>3CE GLAZE LIP TINT #BREAK ME</v>
          </cell>
          <cell r="G71" t="str">
            <v>BREAK ME</v>
          </cell>
          <cell r="H71" t="str">
            <v>5g</v>
          </cell>
          <cell r="I71">
            <v>15000</v>
          </cell>
        </row>
        <row r="72">
          <cell r="E72">
            <v>8809664982651</v>
          </cell>
          <cell r="F72" t="str">
            <v>3CE GLAZE LIP TINT #ROSE PINK</v>
          </cell>
          <cell r="G72" t="str">
            <v>ROSE PINK</v>
          </cell>
          <cell r="H72" t="str">
            <v>5g</v>
          </cell>
          <cell r="I72">
            <v>15000</v>
          </cell>
        </row>
        <row r="73">
          <cell r="E73">
            <v>8809664983429</v>
          </cell>
          <cell r="F73" t="str">
            <v>3CE BLUR WATER TINT #LAYDOWN</v>
          </cell>
          <cell r="G73" t="str">
            <v>LAYDOWN</v>
          </cell>
          <cell r="H73" t="str">
            <v>4.6 g</v>
          </cell>
          <cell r="I73">
            <v>18000</v>
          </cell>
        </row>
        <row r="74">
          <cell r="E74">
            <v>8809664983436</v>
          </cell>
          <cell r="F74" t="str">
            <v>3CE BLUR WATER TINT #BAKE BEIGE</v>
          </cell>
          <cell r="G74" t="str">
            <v>BAKE BEIGE</v>
          </cell>
          <cell r="H74" t="str">
            <v>4.6 g</v>
          </cell>
          <cell r="I74">
            <v>18000</v>
          </cell>
        </row>
        <row r="75">
          <cell r="E75">
            <v>8809664983443</v>
          </cell>
          <cell r="F75" t="str">
            <v>3CE BLUR WATER TINT #CASUAL AFFAIR</v>
          </cell>
          <cell r="G75" t="str">
            <v>CASUAL AFFAIR</v>
          </cell>
          <cell r="H75" t="str">
            <v>4.6 g</v>
          </cell>
          <cell r="I75">
            <v>18000</v>
          </cell>
        </row>
        <row r="76">
          <cell r="E76">
            <v>8809664983450</v>
          </cell>
          <cell r="F76" t="str">
            <v>3CE BLUR WATER TINT #CORAL MOON</v>
          </cell>
          <cell r="G76" t="str">
            <v>CORAL MOON</v>
          </cell>
          <cell r="H76" t="str">
            <v>4.6 g</v>
          </cell>
          <cell r="I76">
            <v>18000</v>
          </cell>
        </row>
        <row r="77">
          <cell r="E77">
            <v>8809664983467</v>
          </cell>
          <cell r="F77" t="str">
            <v>3CE BLUR WATER TINT #PINK GUAVA</v>
          </cell>
          <cell r="G77" t="str">
            <v>PINK GUAVA</v>
          </cell>
          <cell r="H77" t="str">
            <v>4.6 g</v>
          </cell>
          <cell r="I77">
            <v>18000</v>
          </cell>
        </row>
        <row r="78">
          <cell r="E78">
            <v>8809664983474</v>
          </cell>
          <cell r="F78" t="str">
            <v>3CE BLUR WATER TINT #SPOT PLAYER</v>
          </cell>
          <cell r="G78" t="str">
            <v>SPOT PLAYER</v>
          </cell>
          <cell r="H78" t="str">
            <v>4.6 g</v>
          </cell>
          <cell r="I78">
            <v>18000</v>
          </cell>
        </row>
        <row r="79">
          <cell r="E79">
            <v>8809664983481</v>
          </cell>
          <cell r="F79" t="str">
            <v>3CE BLUR WATER TINT #PLAY OFF</v>
          </cell>
          <cell r="G79" t="str">
            <v>PLAY OFF</v>
          </cell>
          <cell r="H79" t="str">
            <v>4.6 g</v>
          </cell>
          <cell r="I79">
            <v>18000</v>
          </cell>
        </row>
        <row r="80">
          <cell r="E80">
            <v>8809664983498</v>
          </cell>
          <cell r="F80" t="str">
            <v>3CE BLUR WATER TINT #DOUBLE WIND</v>
          </cell>
          <cell r="G80" t="str">
            <v>DOUBLE WIND</v>
          </cell>
          <cell r="H80" t="str">
            <v>4.6 g</v>
          </cell>
          <cell r="I80">
            <v>18000</v>
          </cell>
        </row>
        <row r="81">
          <cell r="E81">
            <v>8809664983504</v>
          </cell>
          <cell r="F81" t="str">
            <v>3CE BLUR WATER TINT #BREEZE WAY</v>
          </cell>
          <cell r="G81" t="str">
            <v>BREEZE WAY</v>
          </cell>
          <cell r="H81" t="str">
            <v>4.6 g</v>
          </cell>
          <cell r="I81">
            <v>18000</v>
          </cell>
        </row>
        <row r="82">
          <cell r="E82">
            <v>8809664983511</v>
          </cell>
          <cell r="F82" t="str">
            <v>3CE BLUR WATER TINT #SEPIA</v>
          </cell>
          <cell r="G82" t="str">
            <v>SEPIA</v>
          </cell>
          <cell r="H82" t="str">
            <v>4.6 g</v>
          </cell>
          <cell r="I82">
            <v>18000</v>
          </cell>
        </row>
        <row r="83">
          <cell r="E83">
            <v>8809664983528</v>
          </cell>
          <cell r="F83" t="str">
            <v>3CE NATURAL FINISH LOOSE POWDER (R)</v>
          </cell>
          <cell r="G83" t="str">
            <v>001</v>
          </cell>
          <cell r="H83" t="str">
            <v>8.5 g</v>
          </cell>
          <cell r="I83">
            <v>24000</v>
          </cell>
        </row>
        <row r="84">
          <cell r="E84">
            <v>8809664983535</v>
          </cell>
          <cell r="F84" t="str">
            <v>3CE NATURAL FINISH LOOSE POWDER ®</v>
          </cell>
          <cell r="G84" t="str">
            <v>002</v>
          </cell>
          <cell r="H84" t="str">
            <v>8.5 g</v>
          </cell>
          <cell r="I84">
            <v>24000</v>
          </cell>
        </row>
        <row r="85">
          <cell r="E85">
            <v>8809664983719</v>
          </cell>
          <cell r="F85" t="str">
            <v xml:space="preserve">3CE SHEER LIQUID BLUSHER #COZY PEACH </v>
          </cell>
          <cell r="G85" t="str">
            <v xml:space="preserve">COZY PEACH </v>
          </cell>
          <cell r="H85" t="str">
            <v>3 g</v>
          </cell>
          <cell r="I85">
            <v>17000</v>
          </cell>
        </row>
        <row r="86">
          <cell r="E86">
            <v>8809664983726</v>
          </cell>
          <cell r="F86" t="str">
            <v xml:space="preserve">3CE SHEER LIQUID BLUSHER #SIDE PIECE </v>
          </cell>
          <cell r="G86" t="str">
            <v xml:space="preserve">SIDE PIECE </v>
          </cell>
          <cell r="H86" t="str">
            <v>3 g</v>
          </cell>
          <cell r="I86">
            <v>17000</v>
          </cell>
        </row>
        <row r="87">
          <cell r="E87">
            <v>8809664983733</v>
          </cell>
          <cell r="F87" t="str">
            <v>3CE SHEER LIQUID BLUSHER #JOYFUL AFFAIR</v>
          </cell>
          <cell r="G87" t="str">
            <v>JOYFUL AFFAIR</v>
          </cell>
          <cell r="H87" t="str">
            <v>3 g</v>
          </cell>
          <cell r="I87">
            <v>17000</v>
          </cell>
        </row>
        <row r="88">
          <cell r="E88">
            <v>8809664983757</v>
          </cell>
          <cell r="F88" t="str">
            <v>3CE VELVET LIQUID BLUSHER #CLASSIC MOOD</v>
          </cell>
          <cell r="G88" t="str">
            <v>CLASSIC MOOD</v>
          </cell>
          <cell r="H88" t="str">
            <v>3.4 g</v>
          </cell>
          <cell r="I88">
            <v>17000</v>
          </cell>
        </row>
        <row r="89">
          <cell r="E89">
            <v>8809664983771</v>
          </cell>
          <cell r="F89" t="str">
            <v>3CE TONE UP TINT</v>
          </cell>
          <cell r="G89" t="str">
            <v>PINK</v>
          </cell>
          <cell r="H89" t="str">
            <v>40ml</v>
          </cell>
          <cell r="I89">
            <v>20000</v>
          </cell>
        </row>
        <row r="90">
          <cell r="E90">
            <v>8809664982453</v>
          </cell>
          <cell r="F90" t="str">
            <v>3CE MAKEUP FIXER MIST</v>
          </cell>
          <cell r="G90" t="str">
            <v>투명</v>
          </cell>
          <cell r="H90" t="str">
            <v>100 ml</v>
          </cell>
          <cell r="I90">
            <v>18000</v>
          </cell>
        </row>
        <row r="91">
          <cell r="E91">
            <v>8809664983931</v>
          </cell>
          <cell r="F91" t="str">
            <v>3CE SHIMMER MAKEUP FIXER</v>
          </cell>
          <cell r="G91" t="str">
            <v>GOLD</v>
          </cell>
          <cell r="H91" t="str">
            <v>95 ml</v>
          </cell>
          <cell r="I91">
            <v>18000</v>
          </cell>
        </row>
        <row r="92">
          <cell r="E92">
            <v>8809664983948</v>
          </cell>
          <cell r="F92" t="str">
            <v>3CE SLIM FIX WATERPROOF MASCARA #BLACK</v>
          </cell>
          <cell r="G92" t="str">
            <v>BLACK</v>
          </cell>
          <cell r="H92" t="str">
            <v>6.5 g</v>
          </cell>
          <cell r="I92">
            <v>20000</v>
          </cell>
        </row>
        <row r="93">
          <cell r="E93">
            <v>8809664983955</v>
          </cell>
          <cell r="F93" t="str">
            <v>3CE SUPER SLIM WATERPROOF MASCARA #BLACK</v>
          </cell>
          <cell r="G93" t="str">
            <v>BLACK</v>
          </cell>
          <cell r="H93" t="str">
            <v>3 g</v>
          </cell>
          <cell r="I93">
            <v>17000</v>
          </cell>
        </row>
        <row r="94">
          <cell r="E94">
            <v>8809664981906</v>
          </cell>
          <cell r="F94" t="str">
            <v>3CE SOFT MATTE LIPSTICK #SPEAK TO ME</v>
          </cell>
          <cell r="G94" t="str">
            <v>SPEAK TO ME</v>
          </cell>
          <cell r="H94" t="str">
            <v>3.5 g</v>
          </cell>
          <cell r="I94">
            <v>19000</v>
          </cell>
        </row>
        <row r="95">
          <cell r="E95">
            <v>8809664981913</v>
          </cell>
          <cell r="F95" t="str">
            <v>3CE SOFT MATTE LIPSTICK #FOCUS ON ME</v>
          </cell>
          <cell r="G95" t="str">
            <v>FOCUS ON ME</v>
          </cell>
          <cell r="H95" t="str">
            <v>3.5 g</v>
          </cell>
          <cell r="I95">
            <v>19000</v>
          </cell>
        </row>
        <row r="96">
          <cell r="E96">
            <v>8809664982286</v>
          </cell>
          <cell r="F96" t="str">
            <v>3CE SOFT MATTE LIPSTICK #WARMING WEAR</v>
          </cell>
          <cell r="G96" t="str">
            <v>WARMING WEAR</v>
          </cell>
          <cell r="H96" t="str">
            <v>3.5 g</v>
          </cell>
          <cell r="I96">
            <v>19000</v>
          </cell>
        </row>
        <row r="97">
          <cell r="E97">
            <v>8809664982309</v>
          </cell>
          <cell r="F97" t="str">
            <v>3CE SOFT MATTE LIPSTICK #RED MUSE</v>
          </cell>
          <cell r="G97" t="str">
            <v>RED MUSE</v>
          </cell>
          <cell r="H97" t="str">
            <v>3.5 g</v>
          </cell>
          <cell r="I97">
            <v>19000</v>
          </cell>
        </row>
        <row r="98">
          <cell r="E98">
            <v>8809664982316</v>
          </cell>
          <cell r="F98" t="str">
            <v>3CE SOFT MATTE LIPSTICK #MURMURING</v>
          </cell>
          <cell r="G98" t="str">
            <v>MURMURING</v>
          </cell>
          <cell r="H98" t="str">
            <v>3.5 g</v>
          </cell>
          <cell r="I98">
            <v>19000</v>
          </cell>
        </row>
        <row r="99">
          <cell r="E99">
            <v>8809664982323</v>
          </cell>
          <cell r="F99" t="str">
            <v>3CE SOFT MATTE LIPSTICK #SMOKE PINK</v>
          </cell>
          <cell r="G99" t="str">
            <v>SMOKE PINK</v>
          </cell>
          <cell r="H99" t="str">
            <v>3.5 g</v>
          </cell>
          <cell r="I99">
            <v>19000</v>
          </cell>
        </row>
        <row r="100">
          <cell r="E100">
            <v>8809664983856</v>
          </cell>
          <cell r="F100" t="str">
            <v>3CE VELVET LIP TINT #LIKE GENTLE</v>
          </cell>
          <cell r="G100" t="str">
            <v>LIKE GENTLE</v>
          </cell>
          <cell r="H100" t="str">
            <v>4 g</v>
          </cell>
          <cell r="I100">
            <v>18000</v>
          </cell>
        </row>
        <row r="101">
          <cell r="E101">
            <v>8809664983863</v>
          </cell>
          <cell r="F101" t="str">
            <v>3CE VELVET LIP TINT #CASHMERE NUDE</v>
          </cell>
          <cell r="G101" t="str">
            <v>CASHMERE NUDE</v>
          </cell>
          <cell r="H101" t="str">
            <v>4 g</v>
          </cell>
          <cell r="I101">
            <v>18000</v>
          </cell>
        </row>
        <row r="102">
          <cell r="E102">
            <v>8809664983870</v>
          </cell>
          <cell r="F102" t="str">
            <v>3CE VELVET LIP TINT #DEFINITION</v>
          </cell>
          <cell r="G102" t="str">
            <v>DEFINITION</v>
          </cell>
          <cell r="H102" t="str">
            <v>4 g</v>
          </cell>
          <cell r="I102">
            <v>18000</v>
          </cell>
        </row>
        <row r="103">
          <cell r="E103">
            <v>8809664983887</v>
          </cell>
          <cell r="F103" t="str">
            <v>3CE VELVET LIP TINT #WALK N TALK</v>
          </cell>
          <cell r="G103" t="str">
            <v>WALK N TALK</v>
          </cell>
          <cell r="H103" t="str">
            <v>4 g</v>
          </cell>
          <cell r="I103">
            <v>18000</v>
          </cell>
        </row>
        <row r="104">
          <cell r="E104">
            <v>8809664983894</v>
          </cell>
          <cell r="F104" t="str">
            <v>3CE VELVET LIP TINT #BITTER HOUR</v>
          </cell>
          <cell r="G104" t="str">
            <v>BITTER HOUR</v>
          </cell>
          <cell r="H104" t="str">
            <v>4 g</v>
          </cell>
          <cell r="I104">
            <v>18000</v>
          </cell>
        </row>
        <row r="105">
          <cell r="E105">
            <v>8809664984068</v>
          </cell>
          <cell r="F105" t="str">
            <v>3CE GLOW BEAM</v>
          </cell>
          <cell r="G105" t="str">
            <v>PINK</v>
          </cell>
          <cell r="H105" t="str">
            <v>45ml</v>
          </cell>
          <cell r="I105">
            <v>27000</v>
          </cell>
        </row>
        <row r="106">
          <cell r="E106">
            <v>8809664984365</v>
          </cell>
          <cell r="F106" t="str">
            <v xml:space="preserve">3CE CONTOUR SHADING #SOFT BROWN </v>
          </cell>
          <cell r="G106" t="str">
            <v>SOFT BROWN</v>
          </cell>
          <cell r="H106" t="str">
            <v>8.6 g</v>
          </cell>
          <cell r="I106">
            <v>24000</v>
          </cell>
        </row>
        <row r="107">
          <cell r="E107">
            <v>8809664984372</v>
          </cell>
          <cell r="F107" t="str">
            <v>3CE CONTOUR SHADING #ASH BROWN</v>
          </cell>
          <cell r="G107" t="str">
            <v>ASH BROWN</v>
          </cell>
          <cell r="H107" t="str">
            <v>8.6 g</v>
          </cell>
          <cell r="I107">
            <v>24000</v>
          </cell>
        </row>
        <row r="108">
          <cell r="E108">
            <v>8809664984464</v>
          </cell>
          <cell r="F108" t="str">
            <v>3CE SOFT MATTE LIPSTICK #SENSUAL BREEZE</v>
          </cell>
          <cell r="G108" t="str">
            <v>SENSUAL BREEZE</v>
          </cell>
          <cell r="H108" t="str">
            <v>3.5 g</v>
          </cell>
          <cell r="I108">
            <v>19000</v>
          </cell>
        </row>
        <row r="109">
          <cell r="E109">
            <v>8809664984471</v>
          </cell>
          <cell r="F109" t="str">
            <v>3CE SOFT MATTE LIPSTICK #ETERNAL WARM</v>
          </cell>
          <cell r="G109" t="str">
            <v>ETERNAL WARM</v>
          </cell>
          <cell r="H109" t="str">
            <v>3.5 g</v>
          </cell>
          <cell r="I109">
            <v>19000</v>
          </cell>
        </row>
        <row r="110">
          <cell r="E110">
            <v>8809664984488</v>
          </cell>
          <cell r="F110" t="str">
            <v>3CE SOFT MATTE LIPSTICK #UNSTAINED RED</v>
          </cell>
          <cell r="G110" t="str">
            <v>UNSTAINED RED</v>
          </cell>
          <cell r="H110" t="str">
            <v>3.5 g</v>
          </cell>
          <cell r="I110">
            <v>19000</v>
          </cell>
        </row>
        <row r="111">
          <cell r="E111">
            <v>8809664984457</v>
          </cell>
          <cell r="F111" t="str">
            <v>3CE WATERPROOF MEGA VOLUME MASCARA #BLACK ®</v>
          </cell>
          <cell r="G111" t="str">
            <v>BLACK</v>
          </cell>
          <cell r="H111" t="str">
            <v xml:space="preserve"> 7.5 g</v>
          </cell>
          <cell r="I111">
            <v>20000</v>
          </cell>
        </row>
        <row r="112">
          <cell r="E112">
            <v>8809664984440</v>
          </cell>
          <cell r="F112" t="str">
            <v>3CE WATERPROOF LONG &amp; CURL MASCARA #BLACK ®</v>
          </cell>
          <cell r="G112" t="str">
            <v>BLACK</v>
          </cell>
          <cell r="H112" t="str">
            <v>5.5 g</v>
          </cell>
          <cell r="I112">
            <v>20000</v>
          </cell>
        </row>
        <row r="113">
          <cell r="E113">
            <v>8809664984600</v>
          </cell>
          <cell r="F113" t="str">
            <v>[SPLIT SECOND] 3CE MULTI EYE COLOR PALETTE #AUTO FOCUS</v>
          </cell>
          <cell r="G113" t="str">
            <v>AUTO FOCUS</v>
          </cell>
          <cell r="H113" t="str">
            <v>8.5 g</v>
          </cell>
          <cell r="I113">
            <v>39000</v>
          </cell>
        </row>
        <row r="114">
          <cell r="E114">
            <v>8809664984617</v>
          </cell>
          <cell r="F114" t="str">
            <v>[SPLIT SECOND] 3CE BLUR WATER TINT #EARLY HOUR</v>
          </cell>
          <cell r="G114" t="str">
            <v>EARLY HOUR</v>
          </cell>
          <cell r="H114" t="str">
            <v>4.6 g</v>
          </cell>
          <cell r="I114">
            <v>18000</v>
          </cell>
        </row>
        <row r="115">
          <cell r="E115">
            <v>8809664984624</v>
          </cell>
          <cell r="F115" t="str">
            <v>[SPLIT SECOND] 3CE FACE BLUSH #CITY MAUVE</v>
          </cell>
          <cell r="G115" t="str">
            <v>CITY MAUVE</v>
          </cell>
          <cell r="H115" t="str">
            <v>5.5 g</v>
          </cell>
          <cell r="I115">
            <v>18000</v>
          </cell>
        </row>
        <row r="116">
          <cell r="E116">
            <v>8809664984631</v>
          </cell>
          <cell r="F116" t="str">
            <v>[SPLIT SECOND] 3CE EYE SWITCH #HIDDEN ANGLE</v>
          </cell>
          <cell r="G116" t="str">
            <v>HIDDEN ANGLE</v>
          </cell>
          <cell r="H116" t="str">
            <v>4.3g</v>
          </cell>
          <cell r="I116">
            <v>17000</v>
          </cell>
        </row>
        <row r="117">
          <cell r="E117">
            <v>8809664983344</v>
          </cell>
          <cell r="F117" t="str">
            <v>3CE MULTI EYE COLOR PALETTE #BUTTER CREAM</v>
          </cell>
          <cell r="G117" t="str">
            <v>BUTTER CREAM</v>
          </cell>
          <cell r="H117" t="str">
            <v>8.5 g</v>
          </cell>
          <cell r="I117">
            <v>39000</v>
          </cell>
        </row>
        <row r="118">
          <cell r="E118">
            <v>8809664983351</v>
          </cell>
          <cell r="F118" t="str">
            <v>3CE MULTI EYE COLOR PALETTE #SOME DEF</v>
          </cell>
          <cell r="G118" t="str">
            <v>SOME DEF</v>
          </cell>
          <cell r="H118" t="str">
            <v>8.2 g</v>
          </cell>
          <cell r="I118">
            <v>39000</v>
          </cell>
        </row>
        <row r="119">
          <cell r="E119">
            <v>8809664983368</v>
          </cell>
          <cell r="F119" t="str">
            <v>3CE SOFT MATTE LIPSTICK #WARMISH MOVE</v>
          </cell>
          <cell r="G119" t="str">
            <v>WARMISH MOVE</v>
          </cell>
          <cell r="H119" t="str">
            <v>3.5 g</v>
          </cell>
          <cell r="I119">
            <v>19000</v>
          </cell>
        </row>
        <row r="120">
          <cell r="E120">
            <v>8809664983382</v>
          </cell>
          <cell r="F120" t="str">
            <v>3CE SOFT MATTE LIPSTICK #ORANGE BREEZE</v>
          </cell>
          <cell r="G120" t="str">
            <v>ORANGE BREEZE</v>
          </cell>
          <cell r="H120" t="str">
            <v>3.5 g</v>
          </cell>
          <cell r="I120">
            <v>19000</v>
          </cell>
        </row>
        <row r="121">
          <cell r="E121">
            <v>8809664983399</v>
          </cell>
          <cell r="F121" t="str">
            <v>3CE SOFT MATTE LIPSTICK #WAY BACK</v>
          </cell>
          <cell r="G121" t="str">
            <v>WAY BACK</v>
          </cell>
          <cell r="H121" t="str">
            <v>3.5 g</v>
          </cell>
          <cell r="I121">
            <v>19000</v>
          </cell>
        </row>
        <row r="122">
          <cell r="E122">
            <v>8809664983405</v>
          </cell>
          <cell r="F122" t="str">
            <v>3CE SOFT MATTE LIPSTICK #HAZY ROSE</v>
          </cell>
          <cell r="G122" t="str">
            <v>HAZY ROSE</v>
          </cell>
          <cell r="H122" t="str">
            <v>3.5 g</v>
          </cell>
          <cell r="I122">
            <v>19000</v>
          </cell>
        </row>
        <row r="123">
          <cell r="E123">
            <v>8809664983412</v>
          </cell>
          <cell r="F123" t="str">
            <v>3CE SOFT MATTE LIPSTICK #CHILL MOVE</v>
          </cell>
          <cell r="G123" t="str">
            <v>CHILL MOVE</v>
          </cell>
          <cell r="H123" t="str">
            <v>3.5 g</v>
          </cell>
          <cell r="I123">
            <v>19000</v>
          </cell>
        </row>
        <row r="124">
          <cell r="E124">
            <v>8809664984082</v>
          </cell>
          <cell r="F124" t="str">
            <v>3CE WATER MAKE UP BASE #GREEN</v>
          </cell>
          <cell r="G124" t="str">
            <v>GREEN</v>
          </cell>
          <cell r="H124" t="str">
            <v>45 ml</v>
          </cell>
          <cell r="I124">
            <v>26000</v>
          </cell>
        </row>
        <row r="125">
          <cell r="E125">
            <v>8809664984099</v>
          </cell>
          <cell r="F125" t="str">
            <v>3CE WATER MAKE UP BASE #PURPLE</v>
          </cell>
          <cell r="G125" t="str">
            <v>PURPLE</v>
          </cell>
          <cell r="H125" t="str">
            <v>45 ml</v>
          </cell>
          <cell r="I125">
            <v>26000</v>
          </cell>
        </row>
        <row r="126">
          <cell r="E126">
            <v>8809664984570</v>
          </cell>
          <cell r="F126" t="str">
            <v>3CE MAKEUP FIX POWDER #FAIR</v>
          </cell>
          <cell r="G126" t="str">
            <v>FAIR</v>
          </cell>
          <cell r="H126" t="str">
            <v>9 g</v>
          </cell>
          <cell r="I126">
            <v>30000</v>
          </cell>
        </row>
        <row r="127">
          <cell r="E127">
            <v>8809664984587</v>
          </cell>
          <cell r="F127" t="str">
            <v>3CE MAKEUP FIX POWDER #CLEAR LIGHT</v>
          </cell>
          <cell r="G127" t="str">
            <v>CLEAR LIGHT</v>
          </cell>
          <cell r="H127" t="str">
            <v>9 g</v>
          </cell>
          <cell r="I127">
            <v>30000</v>
          </cell>
        </row>
        <row r="128">
          <cell r="E128">
            <v>8809664984594</v>
          </cell>
          <cell r="F128" t="str">
            <v>3CE MAKEUP FIX POWDER #SOFT MEDIUM</v>
          </cell>
          <cell r="G128" t="str">
            <v>SOFT MEDIUM</v>
          </cell>
          <cell r="H128" t="str">
            <v>9 g</v>
          </cell>
          <cell r="I128">
            <v>30000</v>
          </cell>
        </row>
        <row r="129">
          <cell r="E129">
            <v>8809664982217</v>
          </cell>
          <cell r="F129" t="str">
            <v>3CE MULTI EYE COLOR PALETTE #DELIGHTFUL</v>
          </cell>
          <cell r="G129" t="str">
            <v>DELIGHTFUL</v>
          </cell>
          <cell r="H129" t="str">
            <v>7 g</v>
          </cell>
          <cell r="I129">
            <v>39000</v>
          </cell>
        </row>
        <row r="130">
          <cell r="E130">
            <v>8809664982224</v>
          </cell>
          <cell r="F130" t="str">
            <v>3CE MULTI EYE COLOR PALETTE #SHOT AGAIN</v>
          </cell>
          <cell r="G130" t="str">
            <v>SHOT AGAIN</v>
          </cell>
          <cell r="H130" t="str">
            <v>7 g</v>
          </cell>
          <cell r="I130">
            <v>39000</v>
          </cell>
        </row>
        <row r="131">
          <cell r="E131">
            <v>8809664985119</v>
          </cell>
          <cell r="F131" t="str">
            <v>3CE EASY BROW DESIGNING PENCIL #LIGHT BLONDE</v>
          </cell>
          <cell r="G131" t="str">
            <v>LIGHT BLONDE</v>
          </cell>
          <cell r="H131" t="str">
            <v>0.13 g</v>
          </cell>
          <cell r="I131">
            <v>17000</v>
          </cell>
        </row>
        <row r="132">
          <cell r="E132">
            <v>8809664985126</v>
          </cell>
          <cell r="F132" t="str">
            <v>3CE EASY BROW DESIGNING PENCIL #BROWNIE BROWN</v>
          </cell>
          <cell r="G132" t="str">
            <v>BROWNIE BROWN</v>
          </cell>
          <cell r="H132" t="str">
            <v>0.13 g</v>
          </cell>
          <cell r="I132">
            <v>17000</v>
          </cell>
        </row>
        <row r="133">
          <cell r="E133">
            <v>8809664985133</v>
          </cell>
          <cell r="F133" t="str">
            <v>3CE EASY BROW DESIGNING PENCIL #DEEP BROWN</v>
          </cell>
          <cell r="G133" t="str">
            <v>DEEP BROWN</v>
          </cell>
          <cell r="H133" t="str">
            <v>0.13 g</v>
          </cell>
          <cell r="I133">
            <v>17000</v>
          </cell>
        </row>
        <row r="134">
          <cell r="E134">
            <v>8809664985140</v>
          </cell>
          <cell r="F134" t="str">
            <v>3CE EASY BROW DESIGNING PENCIL #SOFT ASH BROWN</v>
          </cell>
          <cell r="G134" t="str">
            <v>SOFT ASH BROWN</v>
          </cell>
          <cell r="H134" t="str">
            <v>0.13 g</v>
          </cell>
          <cell r="I134">
            <v>17000</v>
          </cell>
        </row>
        <row r="135">
          <cell r="E135">
            <v>8809664985157</v>
          </cell>
          <cell r="F135" t="str">
            <v>3CE EASY BROW DESIGNING PENCIL #EBONY</v>
          </cell>
          <cell r="G135" t="str">
            <v>EBONY</v>
          </cell>
          <cell r="H135" t="str">
            <v>0.13 g</v>
          </cell>
          <cell r="I135">
            <v>17000</v>
          </cell>
        </row>
        <row r="136">
          <cell r="E136">
            <v>8809664985454</v>
          </cell>
          <cell r="F136" t="str">
            <v>3CE BLUR WATER TINT #MORE PEACH</v>
          </cell>
          <cell r="G136" t="str">
            <v>MORE PEACH</v>
          </cell>
          <cell r="H136" t="str">
            <v>4.6 g</v>
          </cell>
          <cell r="I136">
            <v>18000</v>
          </cell>
        </row>
        <row r="137">
          <cell r="E137">
            <v>8809664985461</v>
          </cell>
          <cell r="F137" t="str">
            <v>3CE BLUR WATER TINT #FIRST LETTER</v>
          </cell>
          <cell r="G137" t="str">
            <v>FIRST LETTER</v>
          </cell>
          <cell r="H137" t="str">
            <v>4.6 g</v>
          </cell>
          <cell r="I137">
            <v>18000</v>
          </cell>
        </row>
        <row r="138">
          <cell r="E138">
            <v>8809664985478</v>
          </cell>
          <cell r="F138" t="str">
            <v xml:space="preserve">3CE BLUR WATER TINT #CHASING ROSE </v>
          </cell>
          <cell r="G138" t="str">
            <v xml:space="preserve">CHASING ROSE </v>
          </cell>
          <cell r="H138" t="str">
            <v>4.6 g</v>
          </cell>
          <cell r="I138">
            <v>18000</v>
          </cell>
        </row>
        <row r="139">
          <cell r="E139">
            <v>8809664985645</v>
          </cell>
          <cell r="F139" t="str">
            <v>3CE NEW TAKE EYESHADOW PALETTE #CREATIVE FILTER</v>
          </cell>
          <cell r="G139" t="str">
            <v>CREATIVE FILTER</v>
          </cell>
          <cell r="H139" t="str">
            <v>9.5 g</v>
          </cell>
          <cell r="I139">
            <v>49000</v>
          </cell>
        </row>
        <row r="140">
          <cell r="E140">
            <v>8809664985652</v>
          </cell>
          <cell r="F140" t="str">
            <v>3CE NEW TAKE EYESHADOW PALETTE #RAW NEUTRALS</v>
          </cell>
          <cell r="G140" t="str">
            <v>RAW NEUTRALS</v>
          </cell>
          <cell r="H140" t="str">
            <v>9.5 g</v>
          </cell>
          <cell r="I140">
            <v>49000</v>
          </cell>
        </row>
        <row r="141">
          <cell r="E141">
            <v>8809664985669</v>
          </cell>
          <cell r="F141" t="str">
            <v>3CE NEW TAKE EYESHADOW PALETTE #MOTION FRAME</v>
          </cell>
          <cell r="G141" t="str">
            <v>MOTION FRAME</v>
          </cell>
          <cell r="H141" t="str">
            <v>9.5 g</v>
          </cell>
          <cell r="I141">
            <v>49000</v>
          </cell>
        </row>
        <row r="142">
          <cell r="E142">
            <v>8809664985843</v>
          </cell>
          <cell r="F142" t="str">
            <v>3CE NEW TAKE FACE BLUSHER #YOUTH PINK</v>
          </cell>
          <cell r="G142" t="str">
            <v>YOUTH PINK</v>
          </cell>
          <cell r="H142" t="str">
            <v>4.5 g</v>
          </cell>
          <cell r="I142">
            <v>20000</v>
          </cell>
        </row>
        <row r="143">
          <cell r="E143">
            <v>8809664985850</v>
          </cell>
          <cell r="F143" t="str">
            <v>3CE NEW TAKE FACE BLUSHER #HAZE BEIGE</v>
          </cell>
          <cell r="G143" t="str">
            <v>HAZE BEIGE</v>
          </cell>
          <cell r="H143" t="str">
            <v>4.5 g</v>
          </cell>
          <cell r="I143">
            <v>20000</v>
          </cell>
        </row>
        <row r="144">
          <cell r="E144">
            <v>8809664985867</v>
          </cell>
          <cell r="F144" t="str">
            <v>3CE NEW TAKE FACE BLUSHER #HOW DARE</v>
          </cell>
          <cell r="G144" t="str">
            <v>HOW DARE</v>
          </cell>
          <cell r="H144" t="str">
            <v>4.5 g</v>
          </cell>
          <cell r="I144">
            <v>20000</v>
          </cell>
        </row>
        <row r="145">
          <cell r="E145">
            <v>8809664985874</v>
          </cell>
          <cell r="F145" t="str">
            <v>3CE NEW TAKE FACE BLUSHER #THE MOTION</v>
          </cell>
          <cell r="G145" t="str">
            <v>THE MOTION</v>
          </cell>
          <cell r="H145" t="str">
            <v>4.5 g</v>
          </cell>
          <cell r="I145">
            <v>20000</v>
          </cell>
        </row>
        <row r="146">
          <cell r="E146">
            <v>8809664985881</v>
          </cell>
          <cell r="F146" t="str">
            <v>3CE NEW TAKE FACE BLUSHER #SLIDE SLOWLY</v>
          </cell>
          <cell r="G146" t="str">
            <v>SLIDE SLOWLY</v>
          </cell>
          <cell r="H146" t="str">
            <v>4.5 g</v>
          </cell>
          <cell r="I146">
            <v>20000</v>
          </cell>
        </row>
        <row r="147">
          <cell r="E147">
            <v>8809437390942</v>
          </cell>
          <cell r="F147" t="str">
            <v>3CE POUCH_SMALL</v>
          </cell>
          <cell r="G147" t="str">
            <v>BLACK</v>
          </cell>
          <cell r="H147" t="str">
            <v>-</v>
          </cell>
          <cell r="I147">
            <v>11000</v>
          </cell>
        </row>
        <row r="148">
          <cell r="E148">
            <v>8809437390935</v>
          </cell>
          <cell r="F148" t="str">
            <v>3CE POUCH</v>
          </cell>
          <cell r="G148" t="str">
            <v>BLACK</v>
          </cell>
          <cell r="H148" t="str">
            <v>-</v>
          </cell>
          <cell r="I148">
            <v>13000</v>
          </cell>
        </row>
        <row r="149">
          <cell r="E149">
            <v>8809349990315</v>
          </cell>
          <cell r="F149" t="str">
            <v>3CE SQUARE HAND MIRROR</v>
          </cell>
          <cell r="G149" t="str">
            <v>#BALCK</v>
          </cell>
          <cell r="H149" t="str">
            <v>-</v>
          </cell>
          <cell r="I149">
            <v>10000</v>
          </cell>
        </row>
        <row r="150">
          <cell r="E150">
            <v>8809349990353</v>
          </cell>
          <cell r="F150" t="str">
            <v>3CE SQUARE HAND MIRROR</v>
          </cell>
          <cell r="G150" t="str">
            <v>#PINK</v>
          </cell>
          <cell r="H150" t="str">
            <v>-</v>
          </cell>
          <cell r="I150">
            <v>10000</v>
          </cell>
        </row>
        <row r="151">
          <cell r="E151">
            <v>8809437393158</v>
          </cell>
          <cell r="F151" t="str">
            <v>3CE SQUARE MINI HAND MIRROR</v>
          </cell>
          <cell r="G151" t="str">
            <v>#BALCK</v>
          </cell>
          <cell r="H151" t="str">
            <v>-</v>
          </cell>
          <cell r="I151">
            <v>8000</v>
          </cell>
        </row>
        <row r="152">
          <cell r="E152">
            <v>8809437393134</v>
          </cell>
          <cell r="F152" t="str">
            <v>3CE SQUARE MINI HAND MIRROR</v>
          </cell>
          <cell r="G152" t="str">
            <v>#PINK</v>
          </cell>
          <cell r="H152" t="str">
            <v>-</v>
          </cell>
          <cell r="I152">
            <v>8000</v>
          </cell>
        </row>
        <row r="153">
          <cell r="E153">
            <v>8809437393141</v>
          </cell>
          <cell r="F153" t="str">
            <v>3CE SQUARE MINI HAND MIRROR</v>
          </cell>
          <cell r="G153" t="str">
            <v>#PINK RUMOUR</v>
          </cell>
          <cell r="H153" t="str">
            <v>-</v>
          </cell>
          <cell r="I153">
            <v>8000</v>
          </cell>
        </row>
        <row r="154">
          <cell r="E154">
            <v>8809437394209</v>
          </cell>
          <cell r="F154" t="str">
            <v>3CE PINK RUMOUR POUCH</v>
          </cell>
          <cell r="G154" t="str">
            <v>PINK RUMOUR</v>
          </cell>
          <cell r="H154" t="str">
            <v>-</v>
          </cell>
          <cell r="I154">
            <v>13000</v>
          </cell>
        </row>
        <row r="155">
          <cell r="E155">
            <v>8809437394216</v>
          </cell>
          <cell r="F155" t="str">
            <v>3CE PINK RUMOUR POUCH_SMALL</v>
          </cell>
          <cell r="G155" t="str">
            <v>PINK RUMOUR</v>
          </cell>
          <cell r="H155" t="str">
            <v>-</v>
          </cell>
          <cell r="I155">
            <v>11000</v>
          </cell>
        </row>
        <row r="156">
          <cell r="E156">
            <v>8809437394292</v>
          </cell>
          <cell r="F156" t="str">
            <v>3CE SQUARE HAND MIRROR</v>
          </cell>
          <cell r="G156" t="str">
            <v>PINK RUMOUR</v>
          </cell>
          <cell r="H156" t="str">
            <v>-</v>
          </cell>
          <cell r="I156">
            <v>10000</v>
          </cell>
        </row>
        <row r="157">
          <cell r="E157">
            <v>8809437396920</v>
          </cell>
          <cell r="F157" t="str">
            <v>3CE MOOD RECIPE SQUARE HAND MIRROR #ROSE BEIGE</v>
          </cell>
          <cell r="G157" t="str">
            <v>ROSE BEIGE</v>
          </cell>
          <cell r="H157" t="str">
            <v>-</v>
          </cell>
          <cell r="I157">
            <v>10000</v>
          </cell>
        </row>
        <row r="158">
          <cell r="E158">
            <v>8809437397460</v>
          </cell>
          <cell r="F158" t="str">
            <v>3CE WASH BAG</v>
          </cell>
          <cell r="G158" t="str">
            <v>BLACK</v>
          </cell>
          <cell r="H158" t="str">
            <v>-</v>
          </cell>
          <cell r="I158">
            <v>24000</v>
          </cell>
        </row>
        <row r="159">
          <cell r="E159">
            <v>8809437398481</v>
          </cell>
          <cell r="F159" t="str">
            <v xml:space="preserve">3CE POUCH_MINI </v>
          </cell>
          <cell r="G159" t="str">
            <v>BLACK</v>
          </cell>
          <cell r="H159" t="str">
            <v>-</v>
          </cell>
          <cell r="I159">
            <v>9000</v>
          </cell>
        </row>
        <row r="160">
          <cell r="E160">
            <v>8809437398498</v>
          </cell>
          <cell r="F160" t="str">
            <v>3CE MOOD RECIPE POUCH_MINI</v>
          </cell>
          <cell r="G160" t="str">
            <v>MOOD PINK</v>
          </cell>
          <cell r="H160" t="str">
            <v>-</v>
          </cell>
          <cell r="I160">
            <v>9000</v>
          </cell>
        </row>
        <row r="161">
          <cell r="E161">
            <v>8809437398511</v>
          </cell>
          <cell r="F161" t="str">
            <v>3CE FLAT POUCH_SMALL</v>
          </cell>
          <cell r="G161" t="str">
            <v>BLACK</v>
          </cell>
          <cell r="H161" t="str">
            <v>-</v>
          </cell>
          <cell r="I161">
            <v>8000</v>
          </cell>
        </row>
        <row r="162">
          <cell r="E162">
            <v>8809437398726</v>
          </cell>
          <cell r="F162" t="str">
            <v>3CE DUAL CONCEALER BRUSH #C01</v>
          </cell>
          <cell r="G162" t="str">
            <v>#C01</v>
          </cell>
          <cell r="H162" t="str">
            <v>-</v>
          </cell>
          <cell r="I162">
            <v>13000</v>
          </cell>
        </row>
        <row r="163">
          <cell r="E163">
            <v>8809437399310</v>
          </cell>
          <cell r="F163" t="str">
            <v>3CE MINI MAKEUP BRUSH KIT</v>
          </cell>
          <cell r="G163" t="str">
            <v>ROSE BEIGE</v>
          </cell>
          <cell r="H163" t="str">
            <v>7 brushes</v>
          </cell>
          <cell r="I163">
            <v>79000</v>
          </cell>
        </row>
        <row r="164">
          <cell r="E164">
            <v>8809664980299</v>
          </cell>
          <cell r="F164" t="str">
            <v xml:space="preserve">3CE WASH BAG_SMALL #BLACK </v>
          </cell>
          <cell r="G164" t="str">
            <v>BLACK</v>
          </cell>
          <cell r="H164" t="str">
            <v>19.5*15*5.5 cm</v>
          </cell>
          <cell r="I164">
            <v>19000</v>
          </cell>
        </row>
        <row r="165">
          <cell r="E165">
            <v>8809664980305</v>
          </cell>
          <cell r="F165" t="str">
            <v xml:space="preserve">3CE WASH BAG_SMALL #PINK BEIGE </v>
          </cell>
          <cell r="G165" t="str">
            <v xml:space="preserve"> PINK BEIGE </v>
          </cell>
          <cell r="H165" t="str">
            <v>19.5*15*5.5 cm</v>
          </cell>
          <cell r="I165">
            <v>19000</v>
          </cell>
        </row>
        <row r="166">
          <cell r="E166">
            <v>8809664984655</v>
          </cell>
          <cell r="F166" t="str">
            <v>[SPLIT SECOND] 3CE DEW NAIL COLOR #MAUVE SPHERE</v>
          </cell>
          <cell r="G166" t="str">
            <v>MAUVE SPHERE</v>
          </cell>
          <cell r="H166" t="str">
            <v>8.5 ml</v>
          </cell>
          <cell r="I166">
            <v>9000</v>
          </cell>
        </row>
        <row r="167">
          <cell r="E167">
            <v>8809664984860</v>
          </cell>
          <cell r="F167" t="str">
            <v xml:space="preserve">3CE MULTI DETAIL BRUSH </v>
          </cell>
          <cell r="G167" t="str">
            <v>MULTI DETAIL BRUSH</v>
          </cell>
          <cell r="H167" t="str">
            <v>15.2 cm</v>
          </cell>
          <cell r="I167">
            <v>11000</v>
          </cell>
        </row>
        <row r="168">
          <cell r="E168">
            <v>8809664985225</v>
          </cell>
          <cell r="F168" t="str">
            <v>3CE OVAL HAND MIRROR</v>
          </cell>
          <cell r="G168" t="str">
            <v>SILVER</v>
          </cell>
          <cell r="H168" t="str">
            <v>75x92x10 mm</v>
          </cell>
          <cell r="I168">
            <v>10000</v>
          </cell>
        </row>
        <row r="169">
          <cell r="E169">
            <v>8809664985966</v>
          </cell>
          <cell r="F169" t="str">
            <v xml:space="preserve">3CE BLENDING BLUSHER BRUSH </v>
          </cell>
          <cell r="G169" t="str">
            <v>BLENDING BLUSHER BRUSH</v>
          </cell>
          <cell r="H169" t="str">
            <v>16.9 cm</v>
          </cell>
          <cell r="I169">
            <v>16000</v>
          </cell>
        </row>
        <row r="170">
          <cell r="E170">
            <v>8809664985973</v>
          </cell>
          <cell r="F170" t="str">
            <v>3CE POINT SMUDGE BRUSH</v>
          </cell>
          <cell r="G170" t="str">
            <v>POINT SMUDGE BRUSH</v>
          </cell>
          <cell r="H170" t="str">
            <v>15.3cm</v>
          </cell>
          <cell r="I170">
            <v>11000</v>
          </cell>
        </row>
        <row r="171">
          <cell r="E171">
            <v>8809664985980</v>
          </cell>
          <cell r="F171" t="str">
            <v>3CE SLIM FLAT BRUSH</v>
          </cell>
          <cell r="G171" t="str">
            <v>SLIM FLAT BRUSH</v>
          </cell>
          <cell r="H171" t="str">
            <v>15.1cm</v>
          </cell>
          <cell r="I171">
            <v>11000</v>
          </cell>
        </row>
        <row r="172">
          <cell r="E172">
            <v>8809664985997</v>
          </cell>
          <cell r="F172" t="str">
            <v>3CE EDGE DETAIL BRUSH</v>
          </cell>
          <cell r="G172" t="str">
            <v>EDGE DETAIL BRUSH</v>
          </cell>
          <cell r="H172" t="str">
            <v>15.6cm</v>
          </cell>
          <cell r="I172">
            <v>11000</v>
          </cell>
        </row>
        <row r="173">
          <cell r="E173">
            <v>8809664986000</v>
          </cell>
          <cell r="F173" t="str">
            <v>3CE SHADOW LAYERING BRUSH</v>
          </cell>
          <cell r="G173" t="str">
            <v>SHADOW LAYERING BRUSH</v>
          </cell>
          <cell r="H173" t="str">
            <v>16.1cm</v>
          </cell>
          <cell r="I173">
            <v>13000</v>
          </cell>
        </row>
        <row r="174">
          <cell r="E174">
            <v>8809664986017</v>
          </cell>
          <cell r="F174" t="str">
            <v>3CE BLENDING BRUSH</v>
          </cell>
          <cell r="G174" t="str">
            <v>BLENDING BRUSH</v>
          </cell>
          <cell r="H174" t="str">
            <v>16.4cm</v>
          </cell>
          <cell r="I174">
            <v>13000</v>
          </cell>
        </row>
        <row r="175">
          <cell r="E175">
            <v>8809664987335</v>
          </cell>
          <cell r="F175" t="str">
            <v>3CE SKIN FIT COVER LIQUID CONCEALER</v>
          </cell>
          <cell r="G175" t="str">
            <v>LIGHT IVORY</v>
          </cell>
          <cell r="H175" t="str">
            <v>5.2g</v>
          </cell>
          <cell r="I175">
            <v>17000</v>
          </cell>
        </row>
        <row r="176">
          <cell r="E176">
            <v>8809664987342</v>
          </cell>
          <cell r="F176" t="str">
            <v>3CE SKIN FIT COVER LIQUID CONCEALER</v>
          </cell>
          <cell r="G176" t="str">
            <v>SOFT MEDIUM</v>
          </cell>
          <cell r="H176" t="str">
            <v>5.2g</v>
          </cell>
          <cell r="I176">
            <v>17000</v>
          </cell>
        </row>
        <row r="177">
          <cell r="E177">
            <v>8809664987359</v>
          </cell>
          <cell r="F177" t="str">
            <v>3CE SKIN FIT COVER LIQUID CONCEALER</v>
          </cell>
          <cell r="G177" t="str">
            <v>WHITE</v>
          </cell>
          <cell r="H177" t="str">
            <v>4.3g</v>
          </cell>
          <cell r="I177">
            <v>17000</v>
          </cell>
        </row>
        <row r="178">
          <cell r="E178">
            <v>8809664987908</v>
          </cell>
          <cell r="F178" t="str">
            <v>3CE SOFT MATTE LIPSTICK #ANOTHER WISH</v>
          </cell>
          <cell r="G178" t="str">
            <v xml:space="preserve">ANOTHER WISH </v>
          </cell>
          <cell r="H178" t="str">
            <v>3.5 g</v>
          </cell>
          <cell r="I178">
            <v>19000</v>
          </cell>
        </row>
        <row r="179">
          <cell r="E179">
            <v>8809664987649</v>
          </cell>
          <cell r="F179" t="str">
            <v>3CE CLOUD LIP TINT #NODDING</v>
          </cell>
          <cell r="G179" t="str">
            <v>NODDING</v>
          </cell>
          <cell r="H179" t="str">
            <v>4g</v>
          </cell>
          <cell r="I179">
            <v>18000</v>
          </cell>
        </row>
        <row r="180">
          <cell r="E180">
            <v>8809664987656</v>
          </cell>
          <cell r="F180" t="str">
            <v>3CE CLOUD LIP TINT #CERISE</v>
          </cell>
          <cell r="G180" t="str">
            <v>CERISE</v>
          </cell>
          <cell r="H180" t="str">
            <v>4g</v>
          </cell>
          <cell r="I180">
            <v>18000</v>
          </cell>
        </row>
        <row r="181">
          <cell r="E181">
            <v>8809664987663</v>
          </cell>
          <cell r="F181" t="str">
            <v>3CE CLOUD LIP TINT #DEVOTEE</v>
          </cell>
          <cell r="G181" t="str">
            <v>DEVOTEE</v>
          </cell>
          <cell r="H181" t="str">
            <v>4g</v>
          </cell>
          <cell r="I181">
            <v>18000</v>
          </cell>
        </row>
        <row r="182">
          <cell r="E182">
            <v>8809664987717</v>
          </cell>
          <cell r="F182" t="str">
            <v>3CE FRAGMENTS OF SUMMER EAU DE PARFUM</v>
          </cell>
          <cell r="G182" t="str">
            <v>FRAGMENTS OF SUMMER</v>
          </cell>
          <cell r="H182" t="str">
            <v>50 ml</v>
          </cell>
          <cell r="I182">
            <v>72000</v>
          </cell>
        </row>
        <row r="183">
          <cell r="E183">
            <v>8809664987816</v>
          </cell>
          <cell r="F183" t="str">
            <v>3CE FRAGMENTS OF SUMMER HANDCREAM</v>
          </cell>
          <cell r="G183" t="str">
            <v>FRAGMENTS OF SUMMER</v>
          </cell>
          <cell r="H183" t="str">
            <v>50 ml</v>
          </cell>
          <cell r="I183">
            <v>21000</v>
          </cell>
        </row>
        <row r="184">
          <cell r="E184">
            <v>8809664988202</v>
          </cell>
          <cell r="F184" t="str">
            <v>3CE BLUR WATER TINT #WARMTH</v>
          </cell>
          <cell r="G184" t="str">
            <v>WARMTH</v>
          </cell>
          <cell r="H184" t="str">
            <v>4.6 g</v>
          </cell>
          <cell r="I184">
            <v>18000</v>
          </cell>
        </row>
        <row r="185">
          <cell r="E185">
            <v>8809664988219</v>
          </cell>
          <cell r="F185" t="str">
            <v>3CE BLUR WATER TINT #NIGHT TALK</v>
          </cell>
          <cell r="G185" t="str">
            <v>NIGHT TALK</v>
          </cell>
          <cell r="H185" t="str">
            <v>4.6 g</v>
          </cell>
          <cell r="I185">
            <v>18000</v>
          </cell>
        </row>
        <row r="186">
          <cell r="E186">
            <v>8809664988226</v>
          </cell>
          <cell r="F186" t="str">
            <v>3CE BLUR WATER TINT #DEAR MARCH</v>
          </cell>
          <cell r="G186" t="str">
            <v>DEAR MARCH</v>
          </cell>
          <cell r="H186" t="str">
            <v>4.6 g</v>
          </cell>
          <cell r="I186">
            <v>18000</v>
          </cell>
        </row>
        <row r="187">
          <cell r="E187">
            <v>8809664988301</v>
          </cell>
          <cell r="F187" t="str">
            <v>3CE BARE COVER CUSHION #P01_SPF</v>
          </cell>
          <cell r="G187" t="str">
            <v>#P01</v>
          </cell>
          <cell r="H187" t="str">
            <v>15g</v>
          </cell>
          <cell r="I187">
            <v>30000</v>
          </cell>
        </row>
        <row r="188">
          <cell r="E188">
            <v>8809664988318</v>
          </cell>
          <cell r="F188" t="str">
            <v>3CE BARE COVER CUSHION #N01_SPF</v>
          </cell>
          <cell r="G188" t="str">
            <v>#N01</v>
          </cell>
          <cell r="H188" t="str">
            <v>15g</v>
          </cell>
          <cell r="I188">
            <v>30000</v>
          </cell>
        </row>
        <row r="189">
          <cell r="E189">
            <v>8809664988325</v>
          </cell>
          <cell r="F189" t="str">
            <v>3CE BARE COVER CUSHION #N02_SPF</v>
          </cell>
          <cell r="G189" t="str">
            <v>#N02</v>
          </cell>
          <cell r="H189" t="str">
            <v>15g</v>
          </cell>
          <cell r="I189">
            <v>30000</v>
          </cell>
        </row>
        <row r="190">
          <cell r="E190">
            <v>8809664987984</v>
          </cell>
          <cell r="F190" t="str">
            <v>3CE BLUR MATTE LIPSTICK #NEWTRO WAVE</v>
          </cell>
          <cell r="G190" t="str">
            <v>NEWTRO WAVE</v>
          </cell>
          <cell r="H190" t="str">
            <v>4.0 g</v>
          </cell>
          <cell r="I190">
            <v>22000</v>
          </cell>
        </row>
        <row r="191">
          <cell r="E191">
            <v>8809664987991</v>
          </cell>
          <cell r="F191" t="str">
            <v>3CE BLUR MATTE LIPSTICK #PEANUT BEIGE</v>
          </cell>
          <cell r="G191" t="str">
            <v>PEANUT BEIGE</v>
          </cell>
          <cell r="H191" t="str">
            <v>4.0 g</v>
          </cell>
          <cell r="I191">
            <v>22000</v>
          </cell>
        </row>
        <row r="192">
          <cell r="E192">
            <v>8809664988004</v>
          </cell>
          <cell r="F192" t="str">
            <v>3CE BLUR MATTE LIPSTICK #PURE LAYER</v>
          </cell>
          <cell r="G192" t="str">
            <v>PURE LAYER</v>
          </cell>
          <cell r="H192" t="str">
            <v>4.0 g</v>
          </cell>
          <cell r="I192">
            <v>22000</v>
          </cell>
        </row>
        <row r="193">
          <cell r="E193">
            <v>8809664988011</v>
          </cell>
          <cell r="F193" t="str">
            <v>3CE BLUR MATTE LIPSTICK #APRICOT FILTER</v>
          </cell>
          <cell r="G193" t="str">
            <v>APRICOT FILTER</v>
          </cell>
          <cell r="H193" t="str">
            <v>4.0 g</v>
          </cell>
          <cell r="I193">
            <v>22000</v>
          </cell>
        </row>
        <row r="194">
          <cell r="E194">
            <v>8809664988028</v>
          </cell>
          <cell r="F194" t="str">
            <v>3CE BLUR MATTE LIPSTICK #SALTY CINNAMON</v>
          </cell>
          <cell r="G194" t="str">
            <v>SALTY CINNAMON</v>
          </cell>
          <cell r="H194" t="str">
            <v>4.0 g</v>
          </cell>
          <cell r="I194">
            <v>22000</v>
          </cell>
        </row>
        <row r="195">
          <cell r="E195">
            <v>8809664988035</v>
          </cell>
          <cell r="F195" t="str">
            <v>3CE BLUR MATTE LIPSTICK #IN THE FOG</v>
          </cell>
          <cell r="G195" t="str">
            <v>IN THE FOG</v>
          </cell>
          <cell r="H195" t="str">
            <v>4.0 g</v>
          </cell>
          <cell r="I195">
            <v>22000</v>
          </cell>
        </row>
        <row r="196">
          <cell r="E196">
            <v>8809664988042</v>
          </cell>
          <cell r="F196" t="str">
            <v>3CE BLUR MATTE LIPSTICK #MISTY DAY</v>
          </cell>
          <cell r="G196" t="str">
            <v>MISTY DAY</v>
          </cell>
          <cell r="H196" t="str">
            <v>4.0 g</v>
          </cell>
          <cell r="I196">
            <v>22000</v>
          </cell>
        </row>
        <row r="197">
          <cell r="E197">
            <v>8809664988059</v>
          </cell>
          <cell r="F197" t="str">
            <v>3CE BLUR MATTE LIPSTICK #UNKNOWN WAY</v>
          </cell>
          <cell r="G197" t="str">
            <v>UNKNOWN WAY</v>
          </cell>
          <cell r="H197" t="str">
            <v>4.0 g</v>
          </cell>
          <cell r="I197">
            <v>22000</v>
          </cell>
        </row>
        <row r="198">
          <cell r="E198">
            <v>8809664988066</v>
          </cell>
          <cell r="F198" t="str">
            <v>3CE BLUR MATTE LIPSTICK #MAUVE DRIZZLE</v>
          </cell>
          <cell r="G198" t="str">
            <v>MAUVE DRIZZLE</v>
          </cell>
          <cell r="H198" t="str">
            <v>4.0 g</v>
          </cell>
          <cell r="I198">
            <v>22000</v>
          </cell>
        </row>
        <row r="199">
          <cell r="E199">
            <v>8809664988073</v>
          </cell>
          <cell r="F199" t="str">
            <v>3CE BLUR MATTE LIPSTICK #ROSINESS</v>
          </cell>
          <cell r="G199" t="str">
            <v>ROSINESS</v>
          </cell>
          <cell r="H199" t="str">
            <v>4.0 g</v>
          </cell>
          <cell r="I199">
            <v>22000</v>
          </cell>
        </row>
        <row r="200">
          <cell r="E200">
            <v>8809664988400</v>
          </cell>
          <cell r="F200" t="str">
            <v>[PURE PAIRING] 3CE SOFT MATTE LIPSTICK #FLUFFY LOVE</v>
          </cell>
          <cell r="G200" t="str">
            <v>FLUFFY LOVE</v>
          </cell>
          <cell r="H200" t="str">
            <v>3.5 g</v>
          </cell>
          <cell r="I200">
            <v>19000</v>
          </cell>
        </row>
        <row r="201">
          <cell r="E201">
            <v>8809664988752</v>
          </cell>
          <cell r="F201" t="str">
            <v>3CE ALL-ROUNDER BROW #LIGHT BLONDE</v>
          </cell>
          <cell r="G201" t="str">
            <v>LIGHT BLONDE</v>
          </cell>
          <cell r="H201" t="str">
            <v>6.5 mL</v>
          </cell>
          <cell r="I201">
            <v>18000</v>
          </cell>
        </row>
        <row r="202">
          <cell r="E202">
            <v>8809664988769</v>
          </cell>
          <cell r="F202" t="str">
            <v>3CE ALL-ROUNDER BROW #BROWNIE BROWN</v>
          </cell>
          <cell r="G202" t="str">
            <v>BROWNIE BROWN</v>
          </cell>
          <cell r="H202" t="str">
            <v>6.5 mL</v>
          </cell>
          <cell r="I202">
            <v>18000</v>
          </cell>
        </row>
        <row r="203">
          <cell r="E203">
            <v>8809664988776</v>
          </cell>
          <cell r="F203" t="str">
            <v>3CE ALL-ROUNDER BROW #DEEP BROWN</v>
          </cell>
          <cell r="G203" t="str">
            <v>DEEP BROWN</v>
          </cell>
          <cell r="H203" t="str">
            <v>6.5 mL</v>
          </cell>
          <cell r="I203">
            <v>18000</v>
          </cell>
        </row>
        <row r="204">
          <cell r="E204">
            <v>8809664988127</v>
          </cell>
          <cell r="F204" t="str">
            <v>3CE SOFT MUTE PENCIL LINER #MILK NUDE</v>
          </cell>
          <cell r="G204" t="str">
            <v>MILK NUDE</v>
          </cell>
          <cell r="H204" t="str">
            <v>0.1g</v>
          </cell>
          <cell r="I204">
            <v>14000</v>
          </cell>
        </row>
        <row r="205">
          <cell r="E205">
            <v>8809664988134</v>
          </cell>
          <cell r="F205" t="str">
            <v>3CE SOFT MUTE PENCIL LINER #PALE ROSEWOOD</v>
          </cell>
          <cell r="G205" t="str">
            <v>PALE ROSEWOOD</v>
          </cell>
          <cell r="H205" t="str">
            <v>0.1g</v>
          </cell>
          <cell r="I205">
            <v>14000</v>
          </cell>
        </row>
        <row r="206">
          <cell r="E206">
            <v>8809664988141</v>
          </cell>
          <cell r="F206" t="str">
            <v>3CE SOFT MUTE PENCIL LINER #OATMEAL GRAY</v>
          </cell>
          <cell r="G206" t="str">
            <v>OATMEAL GRAY</v>
          </cell>
          <cell r="H206" t="str">
            <v>0.1g</v>
          </cell>
          <cell r="I206">
            <v>14000</v>
          </cell>
        </row>
        <row r="207">
          <cell r="E207">
            <v>8809664988158</v>
          </cell>
          <cell r="F207" t="str">
            <v>3CE SOFT MUTE PENCIL LINER #HAZEL BROWN</v>
          </cell>
          <cell r="G207" t="str">
            <v>HAZEL BROWN</v>
          </cell>
          <cell r="H207" t="str">
            <v>0.1g</v>
          </cell>
          <cell r="I207">
            <v>14000</v>
          </cell>
        </row>
        <row r="208">
          <cell r="E208">
            <v>8809664988165</v>
          </cell>
          <cell r="F208" t="str">
            <v>3CE SOFT MUTE PENCIL LINER #ACORN BROWN</v>
          </cell>
          <cell r="G208" t="str">
            <v>ACORN BROWN</v>
          </cell>
          <cell r="H208" t="str">
            <v>0.1g</v>
          </cell>
          <cell r="I208">
            <v>14000</v>
          </cell>
        </row>
        <row r="209">
          <cell r="E209" t="str">
            <v xml:space="preserve">	8809664988189</v>
          </cell>
          <cell r="F209" t="str">
            <v>3CE SOFT MUTE PENCIL LINER #ASH GRAY</v>
          </cell>
          <cell r="G209" t="str">
            <v>ASH GRAY</v>
          </cell>
          <cell r="H209" t="str">
            <v>0.1g</v>
          </cell>
          <cell r="I209">
            <v>14000</v>
          </cell>
        </row>
        <row r="210">
          <cell r="E210">
            <v>8809664988196</v>
          </cell>
          <cell r="F210" t="str">
            <v>3CE SOFT MUTE PENCIL LINER #MILDY BLACK</v>
          </cell>
          <cell r="G210" t="str">
            <v>MILDY BLACK</v>
          </cell>
          <cell r="H210" t="str">
            <v>0.1g</v>
          </cell>
          <cell r="I210">
            <v>14000</v>
          </cell>
        </row>
        <row r="211">
          <cell r="E211">
            <v>8809664988882</v>
          </cell>
          <cell r="F211" t="str">
            <v>3CE HAZY LIP CLAY #MAUVROWN</v>
          </cell>
          <cell r="G211" t="str">
            <v>MAUVROWN</v>
          </cell>
          <cell r="H211" t="str">
            <v>4.0 g</v>
          </cell>
          <cell r="I211">
            <v>20000</v>
          </cell>
        </row>
        <row r="212">
          <cell r="E212">
            <v>8809664988899</v>
          </cell>
          <cell r="F212" t="str">
            <v>3CE HAZY LIP CLAY #CHERRY FLUFF</v>
          </cell>
          <cell r="G212" t="str">
            <v>CHERRY FLUFF</v>
          </cell>
          <cell r="H212" t="str">
            <v>4.0 g</v>
          </cell>
          <cell r="I212">
            <v>20000</v>
          </cell>
        </row>
        <row r="213">
          <cell r="E213">
            <v>8809664988905</v>
          </cell>
          <cell r="F213" t="str">
            <v>3CE HAZY LIP CLAY #WARM BROWNIE</v>
          </cell>
          <cell r="G213" t="str">
            <v>WARM BROWNIE</v>
          </cell>
          <cell r="H213" t="str">
            <v>4.0 g</v>
          </cell>
          <cell r="I213">
            <v>20000</v>
          </cell>
        </row>
        <row r="214">
          <cell r="E214">
            <v>8809664988912</v>
          </cell>
          <cell r="F214" t="str">
            <v>3CE HAZY LIP CLAY #COMMON STRANGER</v>
          </cell>
          <cell r="G214" t="str">
            <v>COMMON STRANGER</v>
          </cell>
          <cell r="H214" t="str">
            <v>4.0 g</v>
          </cell>
          <cell r="I214">
            <v>20000</v>
          </cell>
        </row>
        <row r="215">
          <cell r="E215">
            <v>8809664988929</v>
          </cell>
          <cell r="F215" t="str">
            <v>3CE HAZY LIP CLAY #PLUM PUDDING</v>
          </cell>
          <cell r="G215" t="str">
            <v>PLUM PUDDING</v>
          </cell>
          <cell r="H215" t="str">
            <v>4.0 g</v>
          </cell>
          <cell r="I215">
            <v>20000</v>
          </cell>
        </row>
        <row r="216">
          <cell r="E216">
            <v>8809664988936</v>
          </cell>
          <cell r="F216" t="str">
            <v>3CE HAZY LIP CLAY #BUTTER BEIGE</v>
          </cell>
          <cell r="G216" t="str">
            <v>BUTTER BEIGE</v>
          </cell>
          <cell r="H216" t="str">
            <v>4.0 g</v>
          </cell>
          <cell r="I216">
            <v>20000</v>
          </cell>
        </row>
        <row r="217">
          <cell r="E217">
            <v>8809664988943</v>
          </cell>
          <cell r="F217" t="str">
            <v>3CE HAZY LIP CLAY #PAINTINGCOT</v>
          </cell>
          <cell r="G217" t="str">
            <v>PAINTINGCOT</v>
          </cell>
          <cell r="H217" t="str">
            <v>4.0 g</v>
          </cell>
          <cell r="I217">
            <v>20000</v>
          </cell>
        </row>
        <row r="218">
          <cell r="E218">
            <v>8809664988950</v>
          </cell>
          <cell r="F218" t="str">
            <v>3CE HAZY LIP CLAY #TYPEGIRL</v>
          </cell>
          <cell r="G218" t="str">
            <v>TYPEGIRL</v>
          </cell>
          <cell r="H218" t="str">
            <v>4.0 g</v>
          </cell>
          <cell r="I218">
            <v>20000</v>
          </cell>
        </row>
        <row r="219">
          <cell r="E219">
            <v>8809664988967</v>
          </cell>
          <cell r="F219" t="str">
            <v>3CE HAZY LIP CLAY #WHIP RED</v>
          </cell>
          <cell r="G219" t="str">
            <v>WHIP RED</v>
          </cell>
          <cell r="H219" t="str">
            <v>4.0 g</v>
          </cell>
          <cell r="I219">
            <v>20000</v>
          </cell>
        </row>
        <row r="220">
          <cell r="E220">
            <v>8809664988974</v>
          </cell>
          <cell r="F220" t="str">
            <v>3CE HAZY LIP CLAY #HIPAMINE</v>
          </cell>
          <cell r="G220" t="str">
            <v>HIPAMINE</v>
          </cell>
          <cell r="H220" t="str">
            <v>4.0 g</v>
          </cell>
          <cell r="I220">
            <v>20000</v>
          </cell>
        </row>
        <row r="221">
          <cell r="E221" t="str">
            <v>8809939530334</v>
          </cell>
          <cell r="F221" t="str">
            <v>3CE Eye Palette #A Shy Ash</v>
          </cell>
          <cell r="G221" t="str">
            <v>A SHY ASH</v>
          </cell>
          <cell r="H221" t="str">
            <v>8.5g</v>
          </cell>
          <cell r="I221">
            <v>39000</v>
          </cell>
        </row>
        <row r="222">
          <cell r="E222" t="str">
            <v>8809939530358</v>
          </cell>
          <cell r="F222" t="str">
            <v>3CE Velvet Lip Tint #Cozy Crush</v>
          </cell>
          <cell r="G222" t="str">
            <v>COZY CRUSH</v>
          </cell>
          <cell r="H222" t="str">
            <v>4g</v>
          </cell>
          <cell r="I222">
            <v>18000</v>
          </cell>
        </row>
        <row r="223">
          <cell r="E223" t="str">
            <v>8809939530365</v>
          </cell>
          <cell r="F223" t="str">
            <v>3CE Velvet Lip Tint #Fade In</v>
          </cell>
          <cell r="G223" t="str">
            <v>FADE IN</v>
          </cell>
          <cell r="H223" t="str">
            <v>4g</v>
          </cell>
          <cell r="I223">
            <v>18000</v>
          </cell>
        </row>
        <row r="224">
          <cell r="E224" t="str">
            <v>8809939530341</v>
          </cell>
          <cell r="F224" t="str">
            <v>3CE Face Blush #Kinda Shy</v>
          </cell>
          <cell r="G224" t="str">
            <v>KINDA SHY</v>
          </cell>
          <cell r="H224" t="str">
            <v>5.5g</v>
          </cell>
          <cell r="I224">
            <v>18000</v>
          </cell>
        </row>
        <row r="225">
          <cell r="E225">
            <v>8809939530563</v>
          </cell>
          <cell r="F225" t="str">
            <v>3CE BLUR MATTE LIPSTICK #BREEZY MELODY</v>
          </cell>
          <cell r="G225" t="str">
            <v>BREEZY MELODY</v>
          </cell>
          <cell r="H225" t="str">
            <v>4.0 g</v>
          </cell>
          <cell r="I225">
            <v>22000</v>
          </cell>
        </row>
        <row r="226">
          <cell r="E226">
            <v>8809939530556</v>
          </cell>
          <cell r="F226" t="str">
            <v>3CE BLUR MATTE LIPSTICK #TANGERINE TANGO</v>
          </cell>
          <cell r="G226" t="str">
            <v>TANGERINE TANGO</v>
          </cell>
          <cell r="H226" t="str">
            <v>4.0 g</v>
          </cell>
          <cell r="I226">
            <v>22000</v>
          </cell>
        </row>
        <row r="227">
          <cell r="E227">
            <v>8809939530570</v>
          </cell>
          <cell r="F227" t="str">
            <v>3CE BLUR MATTE LIPSTICK #AFTER LAZY</v>
          </cell>
          <cell r="G227" t="str">
            <v>AFTER LAZY</v>
          </cell>
          <cell r="H227" t="str">
            <v>4.0 g</v>
          </cell>
          <cell r="I227">
            <v>22000</v>
          </cell>
        </row>
        <row r="228">
          <cell r="E228">
            <v>8809664989162</v>
          </cell>
          <cell r="F228" t="str">
            <v>3CE Drop Glow Gel -Youth</v>
          </cell>
          <cell r="G228" t="str">
            <v>YOUTH</v>
          </cell>
          <cell r="H228" t="str">
            <v>3.8 g</v>
          </cell>
          <cell r="I228">
            <v>18000</v>
          </cell>
        </row>
        <row r="229">
          <cell r="E229">
            <v>8809664989179</v>
          </cell>
          <cell r="F229" t="str">
            <v>3CE Drop Glow Gel -Raw Apple</v>
          </cell>
          <cell r="G229" t="str">
            <v>RAW APPLE</v>
          </cell>
          <cell r="H229" t="str">
            <v>3.8 g</v>
          </cell>
          <cell r="I229">
            <v>18000</v>
          </cell>
        </row>
        <row r="230">
          <cell r="E230">
            <v>8809939530983</v>
          </cell>
          <cell r="F230" t="str">
            <v>3CE Drop Glow Gel -Weekend</v>
          </cell>
          <cell r="G230" t="str">
            <v>WEEKEND</v>
          </cell>
          <cell r="H230" t="str">
            <v>3.8 g</v>
          </cell>
          <cell r="I230">
            <v>18000</v>
          </cell>
        </row>
        <row r="231">
          <cell r="E231">
            <v>8809664989186</v>
          </cell>
          <cell r="F231" t="str">
            <v>3CE Drop Glow Gel -Essential</v>
          </cell>
          <cell r="G231" t="str">
            <v>ESSENTIAL</v>
          </cell>
          <cell r="H231" t="str">
            <v>3.8 g</v>
          </cell>
          <cell r="I231">
            <v>18000</v>
          </cell>
        </row>
        <row r="232">
          <cell r="E232">
            <v>8809664989193</v>
          </cell>
          <cell r="F232" t="str">
            <v>3CE Drop Glow Gel -Neat</v>
          </cell>
          <cell r="G232" t="str">
            <v>NEAT</v>
          </cell>
          <cell r="H232" t="str">
            <v>3.8 g</v>
          </cell>
          <cell r="I232">
            <v>18000</v>
          </cell>
        </row>
        <row r="233">
          <cell r="E233">
            <v>8809939530990</v>
          </cell>
          <cell r="F233" t="str">
            <v>3CE Drop Glow Gel -Milder</v>
          </cell>
          <cell r="G233" t="str">
            <v>MILDER</v>
          </cell>
          <cell r="H233" t="str">
            <v>3.8 g</v>
          </cell>
          <cell r="I233">
            <v>18000</v>
          </cell>
        </row>
        <row r="234">
          <cell r="E234">
            <v>8809664989209</v>
          </cell>
          <cell r="F234" t="str">
            <v>3CE Drop Glow Gel -Calming</v>
          </cell>
          <cell r="G234" t="str">
            <v>CALMING</v>
          </cell>
          <cell r="H234" t="str">
            <v>3.8 g</v>
          </cell>
          <cell r="I234">
            <v>18000</v>
          </cell>
        </row>
        <row r="235">
          <cell r="E235">
            <v>8809664989216</v>
          </cell>
          <cell r="F235" t="str">
            <v>3CE Drop Glow Gel -Shy</v>
          </cell>
          <cell r="G235" t="str">
            <v>SHY</v>
          </cell>
          <cell r="H235" t="str">
            <v>3.8 g</v>
          </cell>
          <cell r="I235">
            <v>18000</v>
          </cell>
        </row>
        <row r="236">
          <cell r="E236">
            <v>8809939531003</v>
          </cell>
          <cell r="F236" t="str">
            <v>3CE Drop Glow Gel -Very Sure</v>
          </cell>
          <cell r="G236" t="str">
            <v>VERY SURE</v>
          </cell>
          <cell r="H236" t="str">
            <v>3.8 g</v>
          </cell>
          <cell r="I236">
            <v>18000</v>
          </cell>
        </row>
        <row r="237">
          <cell r="E237">
            <v>8809939531010</v>
          </cell>
          <cell r="F237" t="str">
            <v>3CE Drop Glow Gel -Wonder</v>
          </cell>
          <cell r="G237" t="str">
            <v>WONDER</v>
          </cell>
          <cell r="H237" t="str">
            <v>3.8 g</v>
          </cell>
          <cell r="I237">
            <v>18000</v>
          </cell>
        </row>
        <row r="238">
          <cell r="E238">
            <v>8809939530730</v>
          </cell>
          <cell r="F238" t="str">
            <v>3CE All-Rounder Face Palette #Pale Veil</v>
          </cell>
          <cell r="G238" t="str">
            <v>Pale Veil</v>
          </cell>
          <cell r="H238" t="str">
            <v>9.7 g</v>
          </cell>
          <cell r="I238">
            <v>40000</v>
          </cell>
        </row>
        <row r="239">
          <cell r="E239">
            <v>8809939530723</v>
          </cell>
          <cell r="F239" t="str">
            <v>3CE All-Rounder Face Palette #Minimal Scene</v>
          </cell>
          <cell r="G239" t="str">
            <v>Minimal Scene</v>
          </cell>
          <cell r="H239" t="str">
            <v>9.6 g</v>
          </cell>
          <cell r="I239">
            <v>40000</v>
          </cell>
        </row>
        <row r="240">
          <cell r="E240">
            <v>8809939531461</v>
          </cell>
          <cell r="F240" t="str">
            <v>R/ 3CE Shine Reflector -Opal Shower</v>
          </cell>
          <cell r="G240" t="str">
            <v>OPAL SHOWER</v>
          </cell>
          <cell r="H240" t="str">
            <v>1.7g</v>
          </cell>
          <cell r="I240">
            <v>19000</v>
          </cell>
        </row>
        <row r="241">
          <cell r="E241">
            <v>8809939531478</v>
          </cell>
          <cell r="F241" t="str">
            <v>R/ 3CE Shine Reflector-Milky Shadow</v>
          </cell>
          <cell r="G241" t="str">
            <v>MILKY SHADOW</v>
          </cell>
          <cell r="H241" t="str">
            <v>1.7g</v>
          </cell>
          <cell r="I241">
            <v>19000</v>
          </cell>
        </row>
        <row r="242">
          <cell r="E242">
            <v>8809939531485</v>
          </cell>
          <cell r="F242" t="str">
            <v>R/ 3CE Shine Reflector -Softest</v>
          </cell>
          <cell r="G242" t="str">
            <v>SOFTEST</v>
          </cell>
          <cell r="H242" t="str">
            <v>1.7g</v>
          </cell>
          <cell r="I242">
            <v>19000</v>
          </cell>
        </row>
        <row r="243">
          <cell r="E243">
            <v>8809939531492</v>
          </cell>
          <cell r="F243" t="str">
            <v>R/ 3CE Shine Reflector -Lilac Glaze</v>
          </cell>
          <cell r="G243" t="str">
            <v>LILAC GLAZE</v>
          </cell>
          <cell r="H243" t="str">
            <v>1.7g</v>
          </cell>
          <cell r="I243">
            <v>19000</v>
          </cell>
        </row>
        <row r="244">
          <cell r="E244">
            <v>8809939531508</v>
          </cell>
          <cell r="F244" t="str">
            <v>R/3CE Shine Reflector-Rain Or Shine</v>
          </cell>
          <cell r="G244" t="str">
            <v>RAIN OR SHINE</v>
          </cell>
          <cell r="H244" t="str">
            <v>1.7g</v>
          </cell>
          <cell r="I244">
            <v>19000</v>
          </cell>
        </row>
        <row r="245">
          <cell r="E245">
            <v>8809939531515</v>
          </cell>
          <cell r="F245" t="str">
            <v>R/ 3CE Shine Reflector -Coldest</v>
          </cell>
          <cell r="G245" t="str">
            <v>COLDEST</v>
          </cell>
          <cell r="H245" t="str">
            <v>1.7g</v>
          </cell>
          <cell r="I245">
            <v>19000</v>
          </cell>
        </row>
        <row r="246">
          <cell r="E246">
            <v>8809939531522</v>
          </cell>
          <cell r="F246" t="str">
            <v>R/ 3CE Shine Reflector -Nectar</v>
          </cell>
          <cell r="G246" t="str">
            <v>NECTAR</v>
          </cell>
          <cell r="H246" t="str">
            <v>1.7g</v>
          </cell>
          <cell r="I246">
            <v>19000</v>
          </cell>
        </row>
        <row r="247">
          <cell r="E247">
            <v>8809664988875</v>
          </cell>
          <cell r="F247" t="str">
            <v>3CE Hazy Lip Clay #Figgy</v>
          </cell>
          <cell r="H247" t="str">
            <v>4g</v>
          </cell>
          <cell r="I247">
            <v>20000</v>
          </cell>
        </row>
        <row r="248">
          <cell r="E248">
            <v>8809664988868</v>
          </cell>
          <cell r="F248" t="str">
            <v>3CE Hazy Lip Clay #Born To Fig</v>
          </cell>
          <cell r="H248" t="str">
            <v>4g</v>
          </cell>
          <cell r="I248">
            <v>20000</v>
          </cell>
        </row>
        <row r="249">
          <cell r="E249">
            <v>8809664989247</v>
          </cell>
          <cell r="F249" t="str">
            <v>3CE Hazy Lip Clay -Opening Pink</v>
          </cell>
          <cell r="H249" t="str">
            <v>4g</v>
          </cell>
          <cell r="I249">
            <v>20000</v>
          </cell>
        </row>
        <row r="250">
          <cell r="E250">
            <v>8809939531645</v>
          </cell>
          <cell r="F250" t="str">
            <v>3CE Hazy Lip Clay -have Feelings</v>
          </cell>
          <cell r="H250" t="str">
            <v>4g</v>
          </cell>
          <cell r="I250">
            <v>20000</v>
          </cell>
        </row>
        <row r="251">
          <cell r="E251">
            <v>8809664987397</v>
          </cell>
          <cell r="F251" t="str">
            <v>3CE Multi Eye Color Palette -Rosy Muhly</v>
          </cell>
          <cell r="H251" t="str">
            <v>8g</v>
          </cell>
          <cell r="I251">
            <v>39000</v>
          </cell>
        </row>
        <row r="252">
          <cell r="E252">
            <v>8809939531058</v>
          </cell>
          <cell r="F252" t="str">
            <v>3CE New Take Eyeshadow Palette -Pink Journey</v>
          </cell>
          <cell r="G252" t="str">
            <v>PING JOURNEY</v>
          </cell>
          <cell r="H252" t="str">
            <v>9.5g</v>
          </cell>
          <cell r="I252">
            <v>49000</v>
          </cell>
        </row>
        <row r="253">
          <cell r="E253">
            <v>8809664987403</v>
          </cell>
          <cell r="F253" t="str">
            <v>3CE Face Blush -Fig Dive</v>
          </cell>
          <cell r="H253" t="str">
            <v>5.5g</v>
          </cell>
          <cell r="I253">
            <v>18000</v>
          </cell>
        </row>
        <row r="254">
          <cell r="E254">
            <v>8809664987410</v>
          </cell>
          <cell r="F254" t="str">
            <v>3CE Face Blush -Let Me Stay</v>
          </cell>
          <cell r="H254" t="str">
            <v>5.5g</v>
          </cell>
          <cell r="I254">
            <v>18000</v>
          </cell>
        </row>
        <row r="255">
          <cell r="E255">
            <v>8809939531638</v>
          </cell>
          <cell r="F255" t="str">
            <v>3CE Face Blush -Fools In Love</v>
          </cell>
          <cell r="H255" t="str">
            <v>5.5g</v>
          </cell>
          <cell r="I255">
            <v>18000</v>
          </cell>
        </row>
        <row r="256">
          <cell r="E256">
            <v>8809939531072</v>
          </cell>
          <cell r="F256" t="str">
            <v>3CE Lazy Pop Lip Stain -Luztic</v>
          </cell>
          <cell r="H256" t="str">
            <v>4.5g</v>
          </cell>
          <cell r="I256">
            <v>18000</v>
          </cell>
        </row>
        <row r="257">
          <cell r="E257">
            <v>8809939531089</v>
          </cell>
          <cell r="F257" t="str">
            <v>3CE Lazy Pop Lip Stain -Coolest</v>
          </cell>
          <cell r="H257" t="str">
            <v>4.5g</v>
          </cell>
          <cell r="I257">
            <v>18000</v>
          </cell>
        </row>
        <row r="258">
          <cell r="E258">
            <v>8809939531096</v>
          </cell>
          <cell r="F258" t="str">
            <v>3CE Lazy Pop Lip Stain -Yay Or Nay</v>
          </cell>
          <cell r="H258" t="str">
            <v>4.5g</v>
          </cell>
          <cell r="I258">
            <v>18000</v>
          </cell>
        </row>
        <row r="259">
          <cell r="E259">
            <v>8809939531102</v>
          </cell>
          <cell r="F259" t="str">
            <v>3CE Lazy Pop Lip Stain -Spiced Up</v>
          </cell>
          <cell r="H259" t="str">
            <v>4.5g</v>
          </cell>
          <cell r="I259">
            <v>18000</v>
          </cell>
        </row>
        <row r="260">
          <cell r="E260">
            <v>8809939531119</v>
          </cell>
          <cell r="F260" t="str">
            <v>3CE Lazy Pop Lip Stain -Tan</v>
          </cell>
          <cell r="H260" t="str">
            <v>4.5g</v>
          </cell>
          <cell r="I260">
            <v>18000</v>
          </cell>
        </row>
        <row r="261">
          <cell r="E261">
            <v>8809939531126</v>
          </cell>
          <cell r="F261" t="str">
            <v>3CE Fitting Mesh Cushion -P01</v>
          </cell>
          <cell r="H261" t="str">
            <v>11g</v>
          </cell>
          <cell r="I261">
            <v>39000</v>
          </cell>
        </row>
        <row r="262">
          <cell r="E262">
            <v>8809939531133</v>
          </cell>
          <cell r="F262" t="str">
            <v>3CE Fitting Mesh Cushion -N01</v>
          </cell>
          <cell r="H262" t="str">
            <v>11g</v>
          </cell>
          <cell r="I262">
            <v>39000</v>
          </cell>
        </row>
        <row r="263">
          <cell r="E263">
            <v>8809939531140</v>
          </cell>
          <cell r="F263" t="str">
            <v>3CE Fitting Mesh Cushion -N02</v>
          </cell>
          <cell r="H263" t="str">
            <v>11g</v>
          </cell>
          <cell r="I263">
            <v>39000</v>
          </cell>
        </row>
        <row r="264">
          <cell r="E264">
            <v>8809939531157</v>
          </cell>
          <cell r="F264" t="str">
            <v>3CE Fitting Mesh Cushion -N03</v>
          </cell>
          <cell r="H264" t="str">
            <v>11g</v>
          </cell>
          <cell r="I264">
            <v>39000</v>
          </cell>
        </row>
        <row r="265">
          <cell r="E265">
            <v>8809939531164</v>
          </cell>
          <cell r="F265" t="str">
            <v>3CE Fitting Mesh Cushion -W04</v>
          </cell>
          <cell r="H265" t="str">
            <v>11g</v>
          </cell>
          <cell r="I265">
            <v>39000</v>
          </cell>
        </row>
        <row r="266">
          <cell r="E266">
            <v>8809939531171</v>
          </cell>
          <cell r="F266" t="str">
            <v>3CE Fitting Mesh Cushion -W05</v>
          </cell>
          <cell r="H266" t="str">
            <v>11g</v>
          </cell>
          <cell r="I266">
            <v>39000</v>
          </cell>
        </row>
        <row r="267">
          <cell r="E267">
            <v>8809939531898</v>
          </cell>
          <cell r="F267" t="str">
            <v>3CE Multi Eye Color Palette -Knotted Pink /24.PINKASINO.D11</v>
          </cell>
          <cell r="I267">
            <v>39000</v>
          </cell>
        </row>
        <row r="268">
          <cell r="E268">
            <v>8809939531911</v>
          </cell>
          <cell r="F268" t="str">
            <v>3CE New Take Eyeshadow Palette -Quiet Brown /24.PINKASINO.D11</v>
          </cell>
          <cell r="I268">
            <v>49000</v>
          </cell>
        </row>
        <row r="269">
          <cell r="E269">
            <v>8809939531935</v>
          </cell>
          <cell r="F269" t="str">
            <v>3CE New Take Face Blusher -Soft Whisper /24.PINKASINO.D11</v>
          </cell>
          <cell r="I269">
            <v>20000</v>
          </cell>
        </row>
        <row r="270">
          <cell r="E270">
            <v>8809939531942</v>
          </cell>
          <cell r="F270" t="str">
            <v>3CE Eye Switch -Icy White /24.PINKASINO.D11</v>
          </cell>
          <cell r="I270">
            <v>17000</v>
          </cell>
        </row>
        <row r="271">
          <cell r="E271">
            <v>8809939531959</v>
          </cell>
          <cell r="F271" t="str">
            <v>3CE Eye Switch -Starry Blue /24.PINKASINO.D11</v>
          </cell>
          <cell r="I271">
            <v>17000</v>
          </cell>
        </row>
        <row r="272">
          <cell r="E272">
            <v>8809939531966</v>
          </cell>
          <cell r="F272" t="str">
            <v>3CE Eye Switch -Pink Sheen /24.PINKASINO.D11</v>
          </cell>
          <cell r="I272">
            <v>17000</v>
          </cell>
        </row>
        <row r="273">
          <cell r="E273">
            <v>8809939531973</v>
          </cell>
          <cell r="F273" t="str">
            <v>3CE Drop Glow Gel -Mauve Call /24.PINKASINO.D11</v>
          </cell>
          <cell r="I273">
            <v>18000</v>
          </cell>
        </row>
        <row r="274">
          <cell r="E274">
            <v>8809939531980</v>
          </cell>
          <cell r="F274" t="str">
            <v>3CE Drop Glow Gel -Inspired /24.PINKASINO.D11</v>
          </cell>
          <cell r="I274">
            <v>18000</v>
          </cell>
        </row>
        <row r="275">
          <cell r="E275">
            <v>8809939531997</v>
          </cell>
          <cell r="F275" t="str">
            <v>3CE Face Blush -Pink Filter /24.PINKASINO.D11</v>
          </cell>
          <cell r="I275">
            <v>18000</v>
          </cell>
        </row>
        <row r="276">
          <cell r="E276">
            <v>8809939532000</v>
          </cell>
          <cell r="F276" t="str">
            <v>3CE Face Blush -City Mauve /24.PINKASINO.D11</v>
          </cell>
          <cell r="I276">
            <v>18000</v>
          </cell>
        </row>
        <row r="277">
          <cell r="E277">
            <v>8809939532017</v>
          </cell>
          <cell r="F277" t="str">
            <v>3CE Hazy Lip Clay -Warm Brownie /24.PINKASINO.D11</v>
          </cell>
          <cell r="I277">
            <v>20000</v>
          </cell>
        </row>
        <row r="278">
          <cell r="E278">
            <v>8809939532024</v>
          </cell>
          <cell r="F278" t="str">
            <v>3CE Hazy Lip Clay -No Regrets /24.PINKASINO.D11</v>
          </cell>
          <cell r="I278">
            <v>20000</v>
          </cell>
        </row>
        <row r="279">
          <cell r="E279">
            <v>6902395972914</v>
          </cell>
          <cell r="F279" t="str">
            <v>3CE Cashmerehug Lipstick OA 01 ENKR</v>
          </cell>
          <cell r="G279" t="str">
            <v>OAT</v>
          </cell>
          <cell r="H279" t="str">
            <v>3.5g</v>
          </cell>
          <cell r="I279">
            <v>22000</v>
          </cell>
        </row>
        <row r="280">
          <cell r="E280">
            <v>6902395972921</v>
          </cell>
          <cell r="F280" t="str">
            <v>3CE Cashmerehug Lipstick PB 02 ENKR</v>
          </cell>
          <cell r="G280" t="str">
            <v>PURE BLENDING</v>
          </cell>
          <cell r="H280" t="str">
            <v>3.5g</v>
          </cell>
          <cell r="I280">
            <v>22000</v>
          </cell>
        </row>
        <row r="281">
          <cell r="E281">
            <v>6902395972938</v>
          </cell>
          <cell r="F281" t="str">
            <v>3CE Cashmerehug Lipstick YS 03 ENKR</v>
          </cell>
          <cell r="G281" t="str">
            <v>YOUR SIDE</v>
          </cell>
          <cell r="H281" t="str">
            <v>3.5g</v>
          </cell>
          <cell r="I281">
            <v>22000</v>
          </cell>
        </row>
        <row r="282">
          <cell r="E282">
            <v>6902395972945</v>
          </cell>
          <cell r="F282" t="str">
            <v>3CE Cashmerehug Lipstick TM 04 ENKR</v>
          </cell>
          <cell r="G282" t="str">
            <v>TEXT ME</v>
          </cell>
          <cell r="H282" t="str">
            <v>3.5g</v>
          </cell>
          <cell r="I282">
            <v>22000</v>
          </cell>
        </row>
        <row r="283">
          <cell r="E283">
            <v>6902395972952</v>
          </cell>
          <cell r="F283" t="str">
            <v>3CE Cashmerehug Lipstick CW 05 ENKR</v>
          </cell>
          <cell r="G283" t="str">
            <v>COZY WHISPER</v>
          </cell>
          <cell r="H283" t="str">
            <v>3.5g</v>
          </cell>
          <cell r="I283">
            <v>22000</v>
          </cell>
        </row>
        <row r="284">
          <cell r="E284">
            <v>6902395972969</v>
          </cell>
          <cell r="F284" t="str">
            <v>3CE Cashmerehug Lipstick BU 06 ENKR</v>
          </cell>
          <cell r="G284" t="str">
            <v>BUDDY</v>
          </cell>
          <cell r="H284" t="str">
            <v>3.5g</v>
          </cell>
          <cell r="I284">
            <v>22000</v>
          </cell>
        </row>
        <row r="285">
          <cell r="E285">
            <v>6902395972976</v>
          </cell>
          <cell r="F285" t="str">
            <v>3CE Cashmerehug Lipstick KN 07 ENKR</v>
          </cell>
          <cell r="G285" t="str">
            <v>KNIT</v>
          </cell>
          <cell r="H285" t="str">
            <v>3.5g</v>
          </cell>
          <cell r="I285">
            <v>22000</v>
          </cell>
        </row>
        <row r="286">
          <cell r="E286">
            <v>6902395972983</v>
          </cell>
          <cell r="F286" t="str">
            <v>3CE Cashmerehug Lipstick HR 08 ENKR</v>
          </cell>
          <cell r="G286" t="str">
            <v>HUSH RED</v>
          </cell>
          <cell r="H286" t="str">
            <v>3.5g</v>
          </cell>
          <cell r="I286">
            <v>22000</v>
          </cell>
        </row>
        <row r="287">
          <cell r="E287">
            <v>6902395972990</v>
          </cell>
          <cell r="F287" t="str">
            <v>3CE Cashmerehug Lipstick TB 09 ENKR</v>
          </cell>
          <cell r="G287" t="str">
            <v>TAUPE BEIGE</v>
          </cell>
          <cell r="H287" t="str">
            <v>3.5g</v>
          </cell>
          <cell r="I287">
            <v>22000</v>
          </cell>
        </row>
        <row r="288">
          <cell r="E288">
            <v>6902395973003</v>
          </cell>
          <cell r="F288" t="str">
            <v>3CE Cashmerehug Lipstick DR 10 ENKR</v>
          </cell>
          <cell r="G288" t="str">
            <v>DREAMY</v>
          </cell>
          <cell r="H288" t="str">
            <v>3.5g</v>
          </cell>
          <cell r="I288">
            <v>22000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226"/>
  <sheetViews>
    <sheetView tabSelected="1" workbookViewId="0">
      <selection activeCell="H6" sqref="H6:L10"/>
    </sheetView>
  </sheetViews>
  <sheetFormatPr defaultRowHeight="16.5" x14ac:dyDescent="0.3"/>
  <cols>
    <col min="1" max="1" width="11.875" style="1" customWidth="1"/>
    <col min="2" max="2" width="15.625" style="2" bestFit="1" customWidth="1"/>
    <col min="3" max="3" width="65" customWidth="1"/>
    <col min="4" max="4" width="9" style="1"/>
    <col min="5" max="5" width="11.875" style="3" customWidth="1"/>
    <col min="6" max="6" width="10.75" style="3" customWidth="1"/>
  </cols>
  <sheetData>
    <row r="2" spans="1:6" ht="17.25" thickBot="1" x14ac:dyDescent="0.35">
      <c r="A2" s="8" t="s">
        <v>17</v>
      </c>
      <c r="B2" s="9" t="s">
        <v>0</v>
      </c>
      <c r="C2" s="10" t="s">
        <v>1</v>
      </c>
      <c r="D2" s="10" t="s">
        <v>2</v>
      </c>
      <c r="E2" s="12" t="s">
        <v>16</v>
      </c>
      <c r="F2" s="11" t="s">
        <v>15</v>
      </c>
    </row>
    <row r="3" spans="1:6" x14ac:dyDescent="0.3">
      <c r="A3" s="60">
        <v>7</v>
      </c>
      <c r="B3" s="19">
        <v>8809664987939</v>
      </c>
      <c r="C3" s="58" t="s">
        <v>3</v>
      </c>
      <c r="D3" s="20">
        <v>80</v>
      </c>
      <c r="E3" s="21">
        <v>39000</v>
      </c>
      <c r="F3" s="22">
        <v>18720</v>
      </c>
    </row>
    <row r="4" spans="1:6" x14ac:dyDescent="0.3">
      <c r="A4" s="61"/>
      <c r="B4" s="14">
        <v>8809664987939</v>
      </c>
      <c r="C4" s="55" t="s">
        <v>3</v>
      </c>
      <c r="D4" s="16">
        <v>20</v>
      </c>
      <c r="E4" s="17">
        <v>39000</v>
      </c>
      <c r="F4" s="18">
        <v>18720</v>
      </c>
    </row>
    <row r="5" spans="1:6" x14ac:dyDescent="0.3">
      <c r="A5" s="61"/>
      <c r="B5" s="4">
        <v>8809664980947</v>
      </c>
      <c r="C5" s="5" t="s">
        <v>4</v>
      </c>
      <c r="D5" s="6">
        <v>80</v>
      </c>
      <c r="E5" s="13">
        <v>26000</v>
      </c>
      <c r="F5" s="7">
        <v>12480</v>
      </c>
    </row>
    <row r="6" spans="1:6" x14ac:dyDescent="0.3">
      <c r="A6" s="61"/>
      <c r="B6" s="4">
        <v>8809664983955</v>
      </c>
      <c r="C6" s="5" t="s">
        <v>5</v>
      </c>
      <c r="D6" s="6">
        <v>10</v>
      </c>
      <c r="E6" s="13">
        <v>17000</v>
      </c>
      <c r="F6" s="7">
        <v>8160</v>
      </c>
    </row>
    <row r="7" spans="1:6" x14ac:dyDescent="0.3">
      <c r="A7" s="61"/>
      <c r="B7" s="14">
        <v>8809664984631</v>
      </c>
      <c r="C7" s="48" t="s">
        <v>6</v>
      </c>
      <c r="D7" s="16">
        <v>20</v>
      </c>
      <c r="E7" s="17">
        <v>17000</v>
      </c>
      <c r="F7" s="18">
        <v>8160</v>
      </c>
    </row>
    <row r="8" spans="1:6" x14ac:dyDescent="0.3">
      <c r="A8" s="61"/>
      <c r="B8" s="4">
        <v>8809437393141</v>
      </c>
      <c r="C8" s="5" t="s">
        <v>7</v>
      </c>
      <c r="D8" s="6">
        <v>60</v>
      </c>
      <c r="E8" s="13">
        <v>8000</v>
      </c>
      <c r="F8" s="7">
        <v>3840</v>
      </c>
    </row>
    <row r="9" spans="1:6" x14ac:dyDescent="0.3">
      <c r="A9" s="61"/>
      <c r="B9" s="4">
        <v>8809664988127</v>
      </c>
      <c r="C9" s="5" t="s">
        <v>8</v>
      </c>
      <c r="D9" s="6">
        <v>30</v>
      </c>
      <c r="E9" s="13">
        <v>14000</v>
      </c>
      <c r="F9" s="7">
        <v>6720</v>
      </c>
    </row>
    <row r="10" spans="1:6" x14ac:dyDescent="0.3">
      <c r="A10" s="61"/>
      <c r="B10" s="4">
        <v>8809664988134</v>
      </c>
      <c r="C10" s="5" t="s">
        <v>9</v>
      </c>
      <c r="D10" s="6">
        <v>30</v>
      </c>
      <c r="E10" s="13">
        <v>14000</v>
      </c>
      <c r="F10" s="7">
        <v>6720</v>
      </c>
    </row>
    <row r="11" spans="1:6" x14ac:dyDescent="0.3">
      <c r="A11" s="61"/>
      <c r="B11" s="4">
        <v>8809664988141</v>
      </c>
      <c r="C11" s="5" t="s">
        <v>10</v>
      </c>
      <c r="D11" s="6">
        <v>30</v>
      </c>
      <c r="E11" s="13">
        <v>14000</v>
      </c>
      <c r="F11" s="7">
        <v>6720</v>
      </c>
    </row>
    <row r="12" spans="1:6" x14ac:dyDescent="0.3">
      <c r="A12" s="61"/>
      <c r="B12" s="4">
        <v>8809664988165</v>
      </c>
      <c r="C12" s="5" t="s">
        <v>11</v>
      </c>
      <c r="D12" s="6">
        <v>30</v>
      </c>
      <c r="E12" s="13">
        <v>14000</v>
      </c>
      <c r="F12" s="7">
        <v>6720</v>
      </c>
    </row>
    <row r="13" spans="1:6" x14ac:dyDescent="0.3">
      <c r="A13" s="61"/>
      <c r="B13" s="14">
        <v>8809939530990</v>
      </c>
      <c r="C13" s="48" t="s">
        <v>12</v>
      </c>
      <c r="D13" s="16">
        <v>200</v>
      </c>
      <c r="E13" s="17">
        <v>18000</v>
      </c>
      <c r="F13" s="18">
        <v>8640</v>
      </c>
    </row>
    <row r="14" spans="1:6" x14ac:dyDescent="0.3">
      <c r="A14" s="61"/>
      <c r="B14" s="14">
        <v>8809939531003</v>
      </c>
      <c r="C14" s="48" t="s">
        <v>13</v>
      </c>
      <c r="D14" s="16">
        <v>200</v>
      </c>
      <c r="E14" s="17">
        <v>18000</v>
      </c>
      <c r="F14" s="18">
        <v>8640</v>
      </c>
    </row>
    <row r="15" spans="1:6" ht="17.25" thickBot="1" x14ac:dyDescent="0.35">
      <c r="A15" s="62"/>
      <c r="B15" s="27">
        <v>8809939531010</v>
      </c>
      <c r="C15" s="59" t="s">
        <v>14</v>
      </c>
      <c r="D15" s="28">
        <v>200</v>
      </c>
      <c r="E15" s="29">
        <v>18000</v>
      </c>
      <c r="F15" s="30">
        <v>8640</v>
      </c>
    </row>
    <row r="16" spans="1:6" x14ac:dyDescent="0.3">
      <c r="A16" s="63">
        <v>8</v>
      </c>
      <c r="B16" s="14">
        <v>8809664987939</v>
      </c>
      <c r="C16" s="48" t="s">
        <v>3</v>
      </c>
      <c r="D16" s="16">
        <v>260</v>
      </c>
      <c r="E16" s="17">
        <v>39000</v>
      </c>
      <c r="F16" s="18">
        <v>18720</v>
      </c>
    </row>
    <row r="17" spans="1:6" x14ac:dyDescent="0.3">
      <c r="A17" s="63"/>
      <c r="B17" s="4">
        <v>8809664980909</v>
      </c>
      <c r="C17" s="5" t="s">
        <v>18</v>
      </c>
      <c r="D17" s="6">
        <v>260</v>
      </c>
      <c r="E17" s="13">
        <v>24000</v>
      </c>
      <c r="F17" s="7">
        <v>11520</v>
      </c>
    </row>
    <row r="18" spans="1:6" x14ac:dyDescent="0.3">
      <c r="A18" s="63"/>
      <c r="B18" s="4">
        <v>8809664980947</v>
      </c>
      <c r="C18" s="5" t="s">
        <v>4</v>
      </c>
      <c r="D18" s="6">
        <v>100</v>
      </c>
      <c r="E18" s="13">
        <v>26000</v>
      </c>
      <c r="F18" s="7">
        <v>12480</v>
      </c>
    </row>
    <row r="19" spans="1:6" x14ac:dyDescent="0.3">
      <c r="A19" s="63"/>
      <c r="B19" s="4">
        <v>8809664983528</v>
      </c>
      <c r="C19" s="5" t="s">
        <v>19</v>
      </c>
      <c r="D19" s="6">
        <v>100</v>
      </c>
      <c r="E19" s="13">
        <v>24000</v>
      </c>
      <c r="F19" s="7">
        <v>11520</v>
      </c>
    </row>
    <row r="20" spans="1:6" x14ac:dyDescent="0.3">
      <c r="A20" s="63"/>
      <c r="B20" s="4">
        <v>8809664982217</v>
      </c>
      <c r="C20" s="5" t="s">
        <v>20</v>
      </c>
      <c r="D20" s="6">
        <v>240</v>
      </c>
      <c r="E20" s="13">
        <v>39000</v>
      </c>
      <c r="F20" s="7">
        <v>18720</v>
      </c>
    </row>
    <row r="21" spans="1:6" x14ac:dyDescent="0.3">
      <c r="A21" s="63"/>
      <c r="B21" s="14">
        <v>8809664985669</v>
      </c>
      <c r="C21" s="48" t="s">
        <v>21</v>
      </c>
      <c r="D21" s="16">
        <v>50</v>
      </c>
      <c r="E21" s="17">
        <v>49000</v>
      </c>
      <c r="F21" s="18">
        <v>23520</v>
      </c>
    </row>
    <row r="22" spans="1:6" x14ac:dyDescent="0.3">
      <c r="A22" s="63"/>
      <c r="B22" s="4">
        <v>8809349990315</v>
      </c>
      <c r="C22" s="5" t="s">
        <v>22</v>
      </c>
      <c r="D22" s="6">
        <v>40</v>
      </c>
      <c r="E22" s="13">
        <v>10000</v>
      </c>
      <c r="F22" s="7">
        <v>4800</v>
      </c>
    </row>
    <row r="23" spans="1:6" x14ac:dyDescent="0.3">
      <c r="A23" s="63"/>
      <c r="B23" s="4">
        <v>8809349990353</v>
      </c>
      <c r="C23" s="5" t="s">
        <v>22</v>
      </c>
      <c r="D23" s="6">
        <v>40</v>
      </c>
      <c r="E23" s="13">
        <v>10000</v>
      </c>
      <c r="F23" s="7">
        <v>4800</v>
      </c>
    </row>
    <row r="24" spans="1:6" x14ac:dyDescent="0.3">
      <c r="A24" s="63"/>
      <c r="B24" s="4">
        <v>8809437394209</v>
      </c>
      <c r="C24" s="5" t="s">
        <v>23</v>
      </c>
      <c r="D24" s="6">
        <v>50</v>
      </c>
      <c r="E24" s="13">
        <v>13000</v>
      </c>
      <c r="F24" s="7">
        <v>6240</v>
      </c>
    </row>
    <row r="25" spans="1:6" x14ac:dyDescent="0.3">
      <c r="A25" s="63"/>
      <c r="B25" s="4">
        <v>8809437394292</v>
      </c>
      <c r="C25" s="5" t="s">
        <v>22</v>
      </c>
      <c r="D25" s="6">
        <v>40</v>
      </c>
      <c r="E25" s="13">
        <v>10000</v>
      </c>
      <c r="F25" s="7">
        <v>4800</v>
      </c>
    </row>
    <row r="26" spans="1:6" x14ac:dyDescent="0.3">
      <c r="A26" s="63"/>
      <c r="B26" s="4">
        <v>8809664980299</v>
      </c>
      <c r="C26" s="5" t="s">
        <v>24</v>
      </c>
      <c r="D26" s="6">
        <v>50</v>
      </c>
      <c r="E26" s="13">
        <v>19000</v>
      </c>
      <c r="F26" s="7">
        <v>9120</v>
      </c>
    </row>
    <row r="27" spans="1:6" x14ac:dyDescent="0.3">
      <c r="A27" s="63"/>
      <c r="B27" s="14">
        <v>8809664983474</v>
      </c>
      <c r="C27" s="48" t="s">
        <v>25</v>
      </c>
      <c r="D27" s="16">
        <v>10</v>
      </c>
      <c r="E27" s="17">
        <v>18000</v>
      </c>
      <c r="F27" s="18">
        <v>8640</v>
      </c>
    </row>
    <row r="28" spans="1:6" x14ac:dyDescent="0.3">
      <c r="A28" s="63"/>
      <c r="B28" s="14">
        <v>8809664983511</v>
      </c>
      <c r="C28" s="48" t="s">
        <v>26</v>
      </c>
      <c r="D28" s="16">
        <v>130</v>
      </c>
      <c r="E28" s="17">
        <v>18000</v>
      </c>
      <c r="F28" s="18">
        <v>8640</v>
      </c>
    </row>
    <row r="29" spans="1:6" x14ac:dyDescent="0.3">
      <c r="A29" s="63"/>
      <c r="B29" s="4">
        <v>8809664983931</v>
      </c>
      <c r="C29" s="5" t="s">
        <v>27</v>
      </c>
      <c r="D29" s="6">
        <v>20</v>
      </c>
      <c r="E29" s="13">
        <v>18000</v>
      </c>
      <c r="F29" s="7">
        <v>8640</v>
      </c>
    </row>
    <row r="30" spans="1:6" x14ac:dyDescent="0.3">
      <c r="A30" s="63"/>
      <c r="B30" s="4">
        <v>8809664984099</v>
      </c>
      <c r="C30" s="5" t="s">
        <v>28</v>
      </c>
      <c r="D30" s="6">
        <v>20</v>
      </c>
      <c r="E30" s="13">
        <v>26000</v>
      </c>
      <c r="F30" s="7">
        <v>12480</v>
      </c>
    </row>
    <row r="31" spans="1:6" x14ac:dyDescent="0.3">
      <c r="A31" s="63"/>
      <c r="B31" s="14">
        <v>8809664982224</v>
      </c>
      <c r="C31" s="48" t="s">
        <v>29</v>
      </c>
      <c r="D31" s="16">
        <v>40</v>
      </c>
      <c r="E31" s="17">
        <v>39000</v>
      </c>
      <c r="F31" s="18">
        <v>18720</v>
      </c>
    </row>
    <row r="32" spans="1:6" x14ac:dyDescent="0.3">
      <c r="A32" s="63"/>
      <c r="B32" s="4">
        <v>8809437390942</v>
      </c>
      <c r="C32" s="5" t="s">
        <v>30</v>
      </c>
      <c r="D32" s="6">
        <v>50</v>
      </c>
      <c r="E32" s="13">
        <v>11000</v>
      </c>
      <c r="F32" s="7">
        <v>5280</v>
      </c>
    </row>
    <row r="33" spans="1:6" x14ac:dyDescent="0.3">
      <c r="A33" s="63"/>
      <c r="B33" s="14">
        <v>8809664988219</v>
      </c>
      <c r="C33" s="48" t="s">
        <v>31</v>
      </c>
      <c r="D33" s="16">
        <v>100</v>
      </c>
      <c r="E33" s="17">
        <v>18000</v>
      </c>
      <c r="F33" s="18">
        <v>8640</v>
      </c>
    </row>
    <row r="34" spans="1:6" ht="17.25" thickBot="1" x14ac:dyDescent="0.35">
      <c r="A34" s="63"/>
      <c r="B34" s="14">
        <v>8809939531478</v>
      </c>
      <c r="C34" s="48" t="s">
        <v>32</v>
      </c>
      <c r="D34" s="16">
        <v>40</v>
      </c>
      <c r="E34" s="17">
        <v>19000</v>
      </c>
      <c r="F34" s="18">
        <v>9120</v>
      </c>
    </row>
    <row r="35" spans="1:6" x14ac:dyDescent="0.3">
      <c r="A35" s="60">
        <v>9</v>
      </c>
      <c r="B35" s="19">
        <v>8809437396593</v>
      </c>
      <c r="C35" s="58" t="s">
        <v>33</v>
      </c>
      <c r="D35" s="20">
        <v>300</v>
      </c>
      <c r="E35" s="21">
        <v>18000</v>
      </c>
      <c r="F35" s="22">
        <v>8640</v>
      </c>
    </row>
    <row r="36" spans="1:6" x14ac:dyDescent="0.3">
      <c r="A36" s="61"/>
      <c r="B36" s="14">
        <v>8809437396654</v>
      </c>
      <c r="C36" s="55" t="s">
        <v>34</v>
      </c>
      <c r="D36" s="16">
        <v>300</v>
      </c>
      <c r="E36" s="17">
        <v>18000</v>
      </c>
      <c r="F36" s="18">
        <v>8640</v>
      </c>
    </row>
    <row r="37" spans="1:6" x14ac:dyDescent="0.3">
      <c r="A37" s="61"/>
      <c r="B37" s="4">
        <v>8809664987939</v>
      </c>
      <c r="C37" s="5" t="s">
        <v>3</v>
      </c>
      <c r="D37" s="6">
        <v>320</v>
      </c>
      <c r="E37" s="13">
        <v>39000</v>
      </c>
      <c r="F37" s="7">
        <v>18720</v>
      </c>
    </row>
    <row r="38" spans="1:6" x14ac:dyDescent="0.3">
      <c r="A38" s="61"/>
      <c r="B38" s="14">
        <v>8809437399662</v>
      </c>
      <c r="C38" s="48" t="s">
        <v>35</v>
      </c>
      <c r="D38" s="16">
        <v>320</v>
      </c>
      <c r="E38" s="17">
        <v>39000</v>
      </c>
      <c r="F38" s="18">
        <v>18720</v>
      </c>
    </row>
    <row r="39" spans="1:6" x14ac:dyDescent="0.3">
      <c r="A39" s="61"/>
      <c r="B39" s="23">
        <v>8809664980886</v>
      </c>
      <c r="C39" s="49" t="s">
        <v>36</v>
      </c>
      <c r="D39" s="24">
        <v>240</v>
      </c>
      <c r="E39" s="25">
        <v>24000</v>
      </c>
      <c r="F39" s="26">
        <v>11520</v>
      </c>
    </row>
    <row r="40" spans="1:6" x14ac:dyDescent="0.3">
      <c r="A40" s="61"/>
      <c r="B40" s="23">
        <v>8809664980909</v>
      </c>
      <c r="C40" s="49" t="s">
        <v>18</v>
      </c>
      <c r="D40" s="24">
        <v>240</v>
      </c>
      <c r="E40" s="25">
        <v>24000</v>
      </c>
      <c r="F40" s="26">
        <v>11520</v>
      </c>
    </row>
    <row r="41" spans="1:6" x14ac:dyDescent="0.3">
      <c r="A41" s="61"/>
      <c r="B41" s="4">
        <v>8809664980916</v>
      </c>
      <c r="C41" s="5" t="s">
        <v>37</v>
      </c>
      <c r="D41" s="6">
        <v>240</v>
      </c>
      <c r="E41" s="13">
        <v>24000</v>
      </c>
      <c r="F41" s="7">
        <v>11520</v>
      </c>
    </row>
    <row r="42" spans="1:6" x14ac:dyDescent="0.3">
      <c r="A42" s="61"/>
      <c r="B42" s="4">
        <v>8809664980923</v>
      </c>
      <c r="C42" s="5" t="s">
        <v>38</v>
      </c>
      <c r="D42" s="6">
        <v>240</v>
      </c>
      <c r="E42" s="13">
        <v>24000</v>
      </c>
      <c r="F42" s="7">
        <v>11520</v>
      </c>
    </row>
    <row r="43" spans="1:6" x14ac:dyDescent="0.3">
      <c r="A43" s="61"/>
      <c r="B43" s="4">
        <v>8809664980947</v>
      </c>
      <c r="C43" s="5" t="s">
        <v>4</v>
      </c>
      <c r="D43" s="6">
        <v>240</v>
      </c>
      <c r="E43" s="13">
        <v>26000</v>
      </c>
      <c r="F43" s="7">
        <v>12480</v>
      </c>
    </row>
    <row r="44" spans="1:6" x14ac:dyDescent="0.3">
      <c r="A44" s="61"/>
      <c r="B44" s="4">
        <v>8809664983528</v>
      </c>
      <c r="C44" s="5" t="s">
        <v>39</v>
      </c>
      <c r="D44" s="6">
        <v>100</v>
      </c>
      <c r="E44" s="13">
        <v>24000</v>
      </c>
      <c r="F44" s="7">
        <v>11520</v>
      </c>
    </row>
    <row r="45" spans="1:6" x14ac:dyDescent="0.3">
      <c r="A45" s="61"/>
      <c r="B45" s="4">
        <v>8809664982453</v>
      </c>
      <c r="C45" s="5" t="s">
        <v>40</v>
      </c>
      <c r="D45" s="6">
        <v>120</v>
      </c>
      <c r="E45" s="13">
        <v>18000</v>
      </c>
      <c r="F45" s="7">
        <v>8640</v>
      </c>
    </row>
    <row r="46" spans="1:6" x14ac:dyDescent="0.3">
      <c r="A46" s="61"/>
      <c r="B46" s="4">
        <v>8809664985126</v>
      </c>
      <c r="C46" s="5" t="s">
        <v>41</v>
      </c>
      <c r="D46" s="6">
        <v>20</v>
      </c>
      <c r="E46" s="13">
        <v>17000</v>
      </c>
      <c r="F46" s="7">
        <v>8160</v>
      </c>
    </row>
    <row r="47" spans="1:6" x14ac:dyDescent="0.3">
      <c r="A47" s="64"/>
      <c r="B47" s="31">
        <v>8809437390935</v>
      </c>
      <c r="C47" s="32" t="s">
        <v>42</v>
      </c>
      <c r="D47" s="33">
        <v>50</v>
      </c>
      <c r="E47" s="34">
        <v>13000</v>
      </c>
      <c r="F47" s="35">
        <v>6240</v>
      </c>
    </row>
    <row r="48" spans="1:6" x14ac:dyDescent="0.3">
      <c r="A48" s="61"/>
      <c r="B48" s="4">
        <v>8809664980886</v>
      </c>
      <c r="C48" s="5" t="s">
        <v>36</v>
      </c>
      <c r="D48" s="6">
        <v>20</v>
      </c>
      <c r="E48" s="13">
        <v>24000</v>
      </c>
      <c r="F48" s="7">
        <v>10320</v>
      </c>
    </row>
    <row r="49" spans="1:6" x14ac:dyDescent="0.3">
      <c r="A49" s="61"/>
      <c r="B49" s="14">
        <v>8809664984587</v>
      </c>
      <c r="C49" s="48" t="s">
        <v>43</v>
      </c>
      <c r="D49" s="16">
        <v>50</v>
      </c>
      <c r="E49" s="17">
        <v>30000</v>
      </c>
      <c r="F49" s="18">
        <v>12900</v>
      </c>
    </row>
    <row r="50" spans="1:6" x14ac:dyDescent="0.3">
      <c r="A50" s="61"/>
      <c r="B50" s="4">
        <v>8809664985126</v>
      </c>
      <c r="C50" s="5" t="s">
        <v>41</v>
      </c>
      <c r="D50" s="6">
        <v>10</v>
      </c>
      <c r="E50" s="13">
        <v>17000</v>
      </c>
      <c r="F50" s="7">
        <v>7310</v>
      </c>
    </row>
    <row r="51" spans="1:6" x14ac:dyDescent="0.3">
      <c r="A51" s="61"/>
      <c r="B51" s="14">
        <v>8809939531485</v>
      </c>
      <c r="C51" s="48" t="s">
        <v>44</v>
      </c>
      <c r="D51" s="16">
        <v>110</v>
      </c>
      <c r="E51" s="17">
        <v>19000</v>
      </c>
      <c r="F51" s="18">
        <v>8170</v>
      </c>
    </row>
    <row r="52" spans="1:6" x14ac:dyDescent="0.3">
      <c r="A52" s="61"/>
      <c r="B52" s="4">
        <v>8809664985133</v>
      </c>
      <c r="C52" s="5" t="s">
        <v>45</v>
      </c>
      <c r="D52" s="6">
        <v>10</v>
      </c>
      <c r="E52" s="13">
        <v>17000</v>
      </c>
      <c r="F52" s="7">
        <v>7310</v>
      </c>
    </row>
    <row r="53" spans="1:6" x14ac:dyDescent="0.3">
      <c r="A53" s="61"/>
      <c r="B53" s="14">
        <v>8809664985478</v>
      </c>
      <c r="C53" s="48" t="s">
        <v>46</v>
      </c>
      <c r="D53" s="16">
        <v>20</v>
      </c>
      <c r="E53" s="17">
        <v>18000</v>
      </c>
      <c r="F53" s="18">
        <v>7740</v>
      </c>
    </row>
    <row r="54" spans="1:6" x14ac:dyDescent="0.3">
      <c r="A54" s="61"/>
      <c r="B54" s="14">
        <v>8809939530341</v>
      </c>
      <c r="C54" s="48" t="s">
        <v>47</v>
      </c>
      <c r="D54" s="16">
        <v>20</v>
      </c>
      <c r="E54" s="17">
        <v>18000</v>
      </c>
      <c r="F54" s="18">
        <v>7740</v>
      </c>
    </row>
    <row r="55" spans="1:6" x14ac:dyDescent="0.3">
      <c r="A55" s="61"/>
      <c r="B55" s="14">
        <v>8809664983443</v>
      </c>
      <c r="C55" s="48" t="s">
        <v>48</v>
      </c>
      <c r="D55" s="16">
        <v>30</v>
      </c>
      <c r="E55" s="17">
        <v>18000</v>
      </c>
      <c r="F55" s="18">
        <v>7740</v>
      </c>
    </row>
    <row r="56" spans="1:6" x14ac:dyDescent="0.3">
      <c r="A56" s="61"/>
      <c r="B56" s="14">
        <v>8809664984587</v>
      </c>
      <c r="C56" s="48" t="s">
        <v>43</v>
      </c>
      <c r="D56" s="16">
        <v>70</v>
      </c>
      <c r="E56" s="17">
        <v>30000</v>
      </c>
      <c r="F56" s="18">
        <v>12899.999999999998</v>
      </c>
    </row>
    <row r="57" spans="1:6" x14ac:dyDescent="0.3">
      <c r="A57" s="61"/>
      <c r="B57" s="14">
        <v>8809437396760</v>
      </c>
      <c r="C57" s="48" t="s">
        <v>49</v>
      </c>
      <c r="D57" s="16">
        <v>480</v>
      </c>
      <c r="E57" s="17">
        <v>18000</v>
      </c>
      <c r="F57" s="18">
        <v>7740</v>
      </c>
    </row>
    <row r="58" spans="1:6" x14ac:dyDescent="0.3">
      <c r="A58" s="61"/>
      <c r="B58" s="14">
        <v>8809939531485</v>
      </c>
      <c r="C58" s="48" t="s">
        <v>44</v>
      </c>
      <c r="D58" s="16">
        <v>80</v>
      </c>
      <c r="E58" s="17">
        <v>19000</v>
      </c>
      <c r="F58" s="18">
        <v>8170</v>
      </c>
    </row>
    <row r="59" spans="1:6" x14ac:dyDescent="0.3">
      <c r="A59" s="61"/>
      <c r="B59" s="4">
        <v>8809664987939</v>
      </c>
      <c r="C59" s="5" t="s">
        <v>3</v>
      </c>
      <c r="D59" s="6">
        <v>9960</v>
      </c>
      <c r="E59" s="13">
        <v>39000</v>
      </c>
      <c r="F59" s="7">
        <v>16770</v>
      </c>
    </row>
    <row r="60" spans="1:6" ht="17.25" thickBot="1" x14ac:dyDescent="0.35">
      <c r="A60" s="62"/>
      <c r="B60" s="27">
        <v>8809664988967</v>
      </c>
      <c r="C60" s="59" t="s">
        <v>50</v>
      </c>
      <c r="D60" s="28">
        <v>200</v>
      </c>
      <c r="E60" s="29">
        <v>20000</v>
      </c>
      <c r="F60" s="30">
        <v>8600</v>
      </c>
    </row>
    <row r="61" spans="1:6" x14ac:dyDescent="0.3">
      <c r="D61" s="1">
        <v>3810</v>
      </c>
    </row>
    <row r="62" spans="1:6" x14ac:dyDescent="0.3">
      <c r="D62" s="1">
        <v>200</v>
      </c>
    </row>
    <row r="63" spans="1:6" x14ac:dyDescent="0.3">
      <c r="D63" s="1">
        <f>D61-D62</f>
        <v>3610</v>
      </c>
      <c r="E63" s="3">
        <v>3610</v>
      </c>
    </row>
    <row r="64" spans="1:6" ht="17.25" thickBot="1" x14ac:dyDescent="0.35">
      <c r="D64" s="3">
        <f>D63-E63</f>
        <v>0</v>
      </c>
    </row>
    <row r="65" spans="1:6" x14ac:dyDescent="0.3">
      <c r="A65" s="65">
        <v>10</v>
      </c>
      <c r="B65" s="46">
        <v>8809664982217</v>
      </c>
      <c r="C65" s="47" t="s">
        <v>20</v>
      </c>
      <c r="D65" s="36">
        <v>20</v>
      </c>
      <c r="E65" s="37">
        <f>VLOOKUP(B65,'[1]24.10.07'!$E:$I,5,0)</f>
        <v>39000</v>
      </c>
      <c r="F65" s="38">
        <f>E65*0.43</f>
        <v>16770</v>
      </c>
    </row>
    <row r="66" spans="1:6" x14ac:dyDescent="0.3">
      <c r="A66" s="39">
        <v>10</v>
      </c>
      <c r="B66" s="4">
        <v>8809664985126</v>
      </c>
      <c r="C66" s="5" t="s">
        <v>41</v>
      </c>
      <c r="D66" s="6">
        <v>20</v>
      </c>
      <c r="E66" s="13">
        <f>VLOOKUP(B66,'[1]24.10.07'!$E:$I,5,0)</f>
        <v>17000</v>
      </c>
      <c r="F66" s="7">
        <f>E66*0.43</f>
        <v>7310</v>
      </c>
    </row>
    <row r="67" spans="1:6" x14ac:dyDescent="0.3">
      <c r="A67" s="39"/>
      <c r="B67" s="14">
        <v>8809664987359</v>
      </c>
      <c r="C67" s="48" t="s">
        <v>51</v>
      </c>
      <c r="D67" s="16">
        <v>10</v>
      </c>
      <c r="E67" s="17">
        <f>VLOOKUP(B67,'[1]24.10.07'!$E:$I,5,0)</f>
        <v>17000</v>
      </c>
      <c r="F67" s="18">
        <f t="shared" ref="F67:F130" si="0">E67*0.43</f>
        <v>7310</v>
      </c>
    </row>
    <row r="68" spans="1:6" x14ac:dyDescent="0.3">
      <c r="A68" s="39"/>
      <c r="B68" s="4">
        <v>8809664988769</v>
      </c>
      <c r="C68" s="5" t="s">
        <v>52</v>
      </c>
      <c r="D68" s="6">
        <v>20</v>
      </c>
      <c r="E68" s="13">
        <f>VLOOKUP(B68,'[1]24.10.07'!$E:$I,5,0)</f>
        <v>18000</v>
      </c>
      <c r="F68" s="7">
        <f t="shared" si="0"/>
        <v>7740</v>
      </c>
    </row>
    <row r="69" spans="1:6" x14ac:dyDescent="0.3">
      <c r="A69" s="39"/>
      <c r="B69" s="4">
        <v>8809664988776</v>
      </c>
      <c r="C69" s="5" t="s">
        <v>53</v>
      </c>
      <c r="D69" s="6">
        <v>20</v>
      </c>
      <c r="E69" s="13">
        <f>VLOOKUP(B69,'[1]24.10.07'!$E:$I,5,0)</f>
        <v>18000</v>
      </c>
      <c r="F69" s="7">
        <f t="shared" si="0"/>
        <v>7740</v>
      </c>
    </row>
    <row r="70" spans="1:6" x14ac:dyDescent="0.3">
      <c r="A70" s="39"/>
      <c r="B70" s="4">
        <v>8809939531478</v>
      </c>
      <c r="C70" s="5" t="s">
        <v>32</v>
      </c>
      <c r="D70" s="6">
        <v>10</v>
      </c>
      <c r="E70" s="13">
        <f>VLOOKUP(B70,'[1]24.10.07'!$E:$I,5,0)</f>
        <v>19000</v>
      </c>
      <c r="F70" s="7">
        <f t="shared" si="0"/>
        <v>8170</v>
      </c>
    </row>
    <row r="71" spans="1:6" x14ac:dyDescent="0.3">
      <c r="A71" s="39"/>
      <c r="B71" s="14">
        <v>8809939531485</v>
      </c>
      <c r="C71" s="48" t="s">
        <v>44</v>
      </c>
      <c r="D71" s="16">
        <v>10</v>
      </c>
      <c r="E71" s="17">
        <f>VLOOKUP(B71,'[1]24.10.07'!$E:$I,5,0)</f>
        <v>19000</v>
      </c>
      <c r="F71" s="18">
        <f t="shared" si="0"/>
        <v>8170</v>
      </c>
    </row>
    <row r="72" spans="1:6" x14ac:dyDescent="0.3">
      <c r="A72" s="39"/>
      <c r="B72" s="14">
        <v>8809939531508</v>
      </c>
      <c r="C72" s="48" t="s">
        <v>54</v>
      </c>
      <c r="D72" s="16">
        <v>20</v>
      </c>
      <c r="E72" s="17">
        <f>VLOOKUP(B72,'[1]24.10.07'!$E:$I,5,0)</f>
        <v>19000</v>
      </c>
      <c r="F72" s="18">
        <f t="shared" si="0"/>
        <v>8170</v>
      </c>
    </row>
    <row r="73" spans="1:6" x14ac:dyDescent="0.3">
      <c r="A73" s="39"/>
      <c r="B73" s="14">
        <v>8809939531522</v>
      </c>
      <c r="C73" s="48" t="s">
        <v>55</v>
      </c>
      <c r="D73" s="16">
        <v>20</v>
      </c>
      <c r="E73" s="17">
        <f>VLOOKUP(B73,'[1]24.10.07'!$E:$I,5,0)</f>
        <v>19000</v>
      </c>
      <c r="F73" s="18">
        <f t="shared" si="0"/>
        <v>8170</v>
      </c>
    </row>
    <row r="74" spans="1:6" x14ac:dyDescent="0.3">
      <c r="A74" s="39"/>
      <c r="B74" s="4">
        <v>8809437399662</v>
      </c>
      <c r="C74" s="5" t="s">
        <v>35</v>
      </c>
      <c r="D74" s="6">
        <v>60</v>
      </c>
      <c r="E74" s="13">
        <f>VLOOKUP(B74,'[1]24.10.07'!$E:$I,5,0)</f>
        <v>39000</v>
      </c>
      <c r="F74" s="7">
        <f t="shared" si="0"/>
        <v>16770</v>
      </c>
    </row>
    <row r="75" spans="1:6" x14ac:dyDescent="0.3">
      <c r="A75" s="39"/>
      <c r="B75" s="14">
        <v>8809437399990</v>
      </c>
      <c r="C75" s="48" t="s">
        <v>56</v>
      </c>
      <c r="D75" s="16">
        <v>20</v>
      </c>
      <c r="E75" s="17">
        <f>VLOOKUP(B75,'[1]24.10.07'!$E:$I,5,0)</f>
        <v>18000</v>
      </c>
      <c r="F75" s="18">
        <f t="shared" si="0"/>
        <v>7740</v>
      </c>
    </row>
    <row r="76" spans="1:6" x14ac:dyDescent="0.3">
      <c r="A76" s="39"/>
      <c r="B76" s="14">
        <v>8809664980053</v>
      </c>
      <c r="C76" s="48" t="s">
        <v>57</v>
      </c>
      <c r="D76" s="16">
        <v>20</v>
      </c>
      <c r="E76" s="17">
        <f>VLOOKUP(B76,'[1]24.10.07'!$E:$I,5,0)</f>
        <v>18000</v>
      </c>
      <c r="F76" s="18">
        <f t="shared" si="0"/>
        <v>7740</v>
      </c>
    </row>
    <row r="77" spans="1:6" x14ac:dyDescent="0.3">
      <c r="A77" s="39"/>
      <c r="B77" s="14">
        <v>8809664980084</v>
      </c>
      <c r="C77" s="48" t="s">
        <v>58</v>
      </c>
      <c r="D77" s="16">
        <v>20</v>
      </c>
      <c r="E77" s="17">
        <f>VLOOKUP(B77,'[1]24.10.07'!$E:$I,5,0)</f>
        <v>18000</v>
      </c>
      <c r="F77" s="18">
        <f t="shared" si="0"/>
        <v>7740</v>
      </c>
    </row>
    <row r="78" spans="1:6" x14ac:dyDescent="0.3">
      <c r="A78" s="39"/>
      <c r="B78" s="4">
        <v>8809664980886</v>
      </c>
      <c r="C78" s="5" t="s">
        <v>36</v>
      </c>
      <c r="D78" s="6">
        <v>20</v>
      </c>
      <c r="E78" s="13">
        <f>VLOOKUP(B78,'[1]24.10.07'!$E:$I,5,0)</f>
        <v>24000</v>
      </c>
      <c r="F78" s="7">
        <f t="shared" si="0"/>
        <v>10320</v>
      </c>
    </row>
    <row r="79" spans="1:6" x14ac:dyDescent="0.3">
      <c r="A79" s="39"/>
      <c r="B79" s="4">
        <v>8809664980909</v>
      </c>
      <c r="C79" s="5" t="s">
        <v>18</v>
      </c>
      <c r="D79" s="6">
        <v>20</v>
      </c>
      <c r="E79" s="13">
        <f>VLOOKUP(B79,'[1]24.10.07'!$E:$I,5,0)</f>
        <v>24000</v>
      </c>
      <c r="F79" s="7">
        <f t="shared" si="0"/>
        <v>10320</v>
      </c>
    </row>
    <row r="80" spans="1:6" x14ac:dyDescent="0.3">
      <c r="A80" s="39"/>
      <c r="B80" s="4">
        <v>8809664980916</v>
      </c>
      <c r="C80" s="5" t="s">
        <v>37</v>
      </c>
      <c r="D80" s="6">
        <v>20</v>
      </c>
      <c r="E80" s="13">
        <f>VLOOKUP(B80,'[1]24.10.07'!$E:$I,5,0)</f>
        <v>24000</v>
      </c>
      <c r="F80" s="7">
        <f t="shared" si="0"/>
        <v>10320</v>
      </c>
    </row>
    <row r="81" spans="1:6" x14ac:dyDescent="0.3">
      <c r="A81" s="39"/>
      <c r="B81" s="4">
        <v>8809664980947</v>
      </c>
      <c r="C81" s="5" t="s">
        <v>4</v>
      </c>
      <c r="D81" s="6">
        <v>20</v>
      </c>
      <c r="E81" s="13">
        <f>VLOOKUP(B81,'[1]24.10.07'!$E:$I,5,0)</f>
        <v>26000</v>
      </c>
      <c r="F81" s="7">
        <f t="shared" si="0"/>
        <v>11180</v>
      </c>
    </row>
    <row r="82" spans="1:6" x14ac:dyDescent="0.3">
      <c r="A82" s="39"/>
      <c r="B82" s="14">
        <v>8809664982705</v>
      </c>
      <c r="C82" s="48" t="s">
        <v>59</v>
      </c>
      <c r="D82" s="16">
        <v>30</v>
      </c>
      <c r="E82" s="17">
        <f>VLOOKUP(B82,'[1]24.10.07'!$E:$I,5,0)</f>
        <v>18000</v>
      </c>
      <c r="F82" s="18">
        <f t="shared" si="0"/>
        <v>7740</v>
      </c>
    </row>
    <row r="83" spans="1:6" x14ac:dyDescent="0.3">
      <c r="A83" s="39"/>
      <c r="B83" s="4">
        <v>8809664982927</v>
      </c>
      <c r="C83" s="5" t="s">
        <v>60</v>
      </c>
      <c r="D83" s="6">
        <v>20</v>
      </c>
      <c r="E83" s="13">
        <f>VLOOKUP(B83,'[1]24.10.07'!$E:$I,5,0)</f>
        <v>24000</v>
      </c>
      <c r="F83" s="7">
        <f t="shared" si="0"/>
        <v>10320</v>
      </c>
    </row>
    <row r="84" spans="1:6" x14ac:dyDescent="0.3">
      <c r="A84" s="39"/>
      <c r="B84" s="4">
        <v>8809664982934</v>
      </c>
      <c r="C84" s="5" t="s">
        <v>61</v>
      </c>
      <c r="D84" s="6">
        <v>20</v>
      </c>
      <c r="E84" s="13">
        <f>VLOOKUP(B84,'[1]24.10.07'!$E:$I,5,0)</f>
        <v>24000</v>
      </c>
      <c r="F84" s="7">
        <f t="shared" si="0"/>
        <v>10320</v>
      </c>
    </row>
    <row r="85" spans="1:6" x14ac:dyDescent="0.3">
      <c r="A85" s="39"/>
      <c r="B85" s="14">
        <v>8809664983450</v>
      </c>
      <c r="C85" s="48" t="s">
        <v>62</v>
      </c>
      <c r="D85" s="16">
        <v>10</v>
      </c>
      <c r="E85" s="17">
        <f>VLOOKUP(B85,'[1]24.10.07'!$E:$I,5,0)</f>
        <v>18000</v>
      </c>
      <c r="F85" s="18">
        <f t="shared" si="0"/>
        <v>7740</v>
      </c>
    </row>
    <row r="86" spans="1:6" x14ac:dyDescent="0.3">
      <c r="A86" s="39"/>
      <c r="B86" s="14">
        <v>8809664983467</v>
      </c>
      <c r="C86" s="48" t="s">
        <v>63</v>
      </c>
      <c r="D86" s="16">
        <v>30</v>
      </c>
      <c r="E86" s="17">
        <f>VLOOKUP(B86,'[1]24.10.07'!$E:$I,5,0)</f>
        <v>18000</v>
      </c>
      <c r="F86" s="18">
        <f t="shared" si="0"/>
        <v>7740</v>
      </c>
    </row>
    <row r="87" spans="1:6" x14ac:dyDescent="0.3">
      <c r="A87" s="39"/>
      <c r="B87" s="14">
        <v>8809664983474</v>
      </c>
      <c r="C87" s="48" t="s">
        <v>25</v>
      </c>
      <c r="D87" s="16">
        <v>30</v>
      </c>
      <c r="E87" s="17">
        <f>VLOOKUP(B87,'[1]24.10.07'!$E:$I,5,0)</f>
        <v>18000</v>
      </c>
      <c r="F87" s="18">
        <f t="shared" si="0"/>
        <v>7740</v>
      </c>
    </row>
    <row r="88" spans="1:6" x14ac:dyDescent="0.3">
      <c r="A88" s="39"/>
      <c r="B88" s="14">
        <v>8809664983481</v>
      </c>
      <c r="C88" s="48" t="s">
        <v>64</v>
      </c>
      <c r="D88" s="16">
        <v>30</v>
      </c>
      <c r="E88" s="17">
        <f>VLOOKUP(B88,'[1]24.10.07'!$E:$I,5,0)</f>
        <v>18000</v>
      </c>
      <c r="F88" s="18">
        <f t="shared" si="0"/>
        <v>7740</v>
      </c>
    </row>
    <row r="89" spans="1:6" x14ac:dyDescent="0.3">
      <c r="A89" s="39"/>
      <c r="B89" s="14">
        <v>8809664983498</v>
      </c>
      <c r="C89" s="48" t="s">
        <v>65</v>
      </c>
      <c r="D89" s="16">
        <v>50</v>
      </c>
      <c r="E89" s="17">
        <f>VLOOKUP(B89,'[1]24.10.07'!$E:$I,5,0)</f>
        <v>18000</v>
      </c>
      <c r="F89" s="18">
        <f t="shared" si="0"/>
        <v>7740</v>
      </c>
    </row>
    <row r="90" spans="1:6" x14ac:dyDescent="0.3">
      <c r="A90" s="39"/>
      <c r="B90" s="4">
        <v>8809664983528</v>
      </c>
      <c r="C90" s="5" t="s">
        <v>19</v>
      </c>
      <c r="D90" s="6">
        <v>40</v>
      </c>
      <c r="E90" s="13">
        <f>VLOOKUP(B90,'[1]24.10.07'!$E:$I,5,0)</f>
        <v>24000</v>
      </c>
      <c r="F90" s="7">
        <f t="shared" si="0"/>
        <v>10320</v>
      </c>
    </row>
    <row r="91" spans="1:6" x14ac:dyDescent="0.3">
      <c r="A91" s="39"/>
      <c r="B91" s="4">
        <v>8809664983535</v>
      </c>
      <c r="C91" s="5" t="s">
        <v>66</v>
      </c>
      <c r="D91" s="6">
        <v>40</v>
      </c>
      <c r="E91" s="13">
        <f>VLOOKUP(B91,'[1]24.10.07'!$E:$I,5,0)</f>
        <v>24000</v>
      </c>
      <c r="F91" s="7">
        <f t="shared" si="0"/>
        <v>10320</v>
      </c>
    </row>
    <row r="92" spans="1:6" x14ac:dyDescent="0.3">
      <c r="A92" s="39"/>
      <c r="B92" s="14">
        <v>8809664982453</v>
      </c>
      <c r="C92" s="48" t="s">
        <v>40</v>
      </c>
      <c r="D92" s="16">
        <v>60</v>
      </c>
      <c r="E92" s="17">
        <f>VLOOKUP(B92,'[1]24.10.07'!$E:$I,5,0)</f>
        <v>18000</v>
      </c>
      <c r="F92" s="18">
        <f t="shared" si="0"/>
        <v>7740</v>
      </c>
    </row>
    <row r="93" spans="1:6" x14ac:dyDescent="0.3">
      <c r="A93" s="39"/>
      <c r="B93" s="14">
        <v>8809664983931</v>
      </c>
      <c r="C93" s="48" t="s">
        <v>27</v>
      </c>
      <c r="D93" s="16">
        <v>80</v>
      </c>
      <c r="E93" s="17">
        <f>VLOOKUP(B93,'[1]24.10.07'!$E:$I,5,0)</f>
        <v>18000</v>
      </c>
      <c r="F93" s="18">
        <f t="shared" si="0"/>
        <v>7740</v>
      </c>
    </row>
    <row r="94" spans="1:6" x14ac:dyDescent="0.3">
      <c r="A94" s="39"/>
      <c r="B94" s="4">
        <v>8809664984570</v>
      </c>
      <c r="C94" s="5" t="s">
        <v>67</v>
      </c>
      <c r="D94" s="6">
        <v>50</v>
      </c>
      <c r="E94" s="13">
        <f>VLOOKUP(B94,'[1]24.10.07'!$E:$I,5,0)</f>
        <v>30000</v>
      </c>
      <c r="F94" s="7">
        <f t="shared" si="0"/>
        <v>12900</v>
      </c>
    </row>
    <row r="95" spans="1:6" x14ac:dyDescent="0.3">
      <c r="A95" s="39"/>
      <c r="B95" s="14">
        <v>8809664985461</v>
      </c>
      <c r="C95" s="48" t="s">
        <v>68</v>
      </c>
      <c r="D95" s="16">
        <v>20</v>
      </c>
      <c r="E95" s="17">
        <f>VLOOKUP(B95,'[1]24.10.07'!$E:$I,5,0)</f>
        <v>18000</v>
      </c>
      <c r="F95" s="18">
        <f t="shared" si="0"/>
        <v>7740</v>
      </c>
    </row>
    <row r="96" spans="1:6" x14ac:dyDescent="0.3">
      <c r="A96" s="39"/>
      <c r="B96" s="50">
        <v>8809664985645</v>
      </c>
      <c r="C96" s="51" t="s">
        <v>69</v>
      </c>
      <c r="D96" s="52">
        <v>30</v>
      </c>
      <c r="E96" s="53">
        <f>VLOOKUP(B96,'[1]24.10.07'!$E:$I,5,0)</f>
        <v>49000</v>
      </c>
      <c r="F96" s="54">
        <f t="shared" si="0"/>
        <v>21070</v>
      </c>
    </row>
    <row r="97" spans="1:6" x14ac:dyDescent="0.3">
      <c r="A97" s="39"/>
      <c r="B97" s="14">
        <v>8809664987656</v>
      </c>
      <c r="C97" s="48" t="s">
        <v>70</v>
      </c>
      <c r="D97" s="16">
        <v>20</v>
      </c>
      <c r="E97" s="17">
        <f>VLOOKUP(B97,'[1]24.10.07'!$E:$I,5,0)</f>
        <v>18000</v>
      </c>
      <c r="F97" s="18">
        <f t="shared" si="0"/>
        <v>7740</v>
      </c>
    </row>
    <row r="98" spans="1:6" x14ac:dyDescent="0.3">
      <c r="A98" s="39"/>
      <c r="B98" s="4">
        <v>8809664988301</v>
      </c>
      <c r="C98" s="5" t="s">
        <v>71</v>
      </c>
      <c r="D98" s="6">
        <v>20</v>
      </c>
      <c r="E98" s="13">
        <f>VLOOKUP(B98,'[1]24.10.07'!$E:$I,5,0)</f>
        <v>30000</v>
      </c>
      <c r="F98" s="7">
        <f t="shared" si="0"/>
        <v>12900</v>
      </c>
    </row>
    <row r="99" spans="1:6" x14ac:dyDescent="0.3">
      <c r="A99" s="39"/>
      <c r="B99" s="4">
        <v>8809664988318</v>
      </c>
      <c r="C99" s="5" t="s">
        <v>72</v>
      </c>
      <c r="D99" s="6">
        <v>20</v>
      </c>
      <c r="E99" s="13">
        <f>VLOOKUP(B99,'[1]24.10.07'!$E:$I,5,0)</f>
        <v>30000</v>
      </c>
      <c r="F99" s="7">
        <f t="shared" si="0"/>
        <v>12900</v>
      </c>
    </row>
    <row r="100" spans="1:6" x14ac:dyDescent="0.3">
      <c r="A100" s="39"/>
      <c r="B100" s="4">
        <v>8809664988325</v>
      </c>
      <c r="C100" s="5" t="s">
        <v>73</v>
      </c>
      <c r="D100" s="6">
        <v>20</v>
      </c>
      <c r="E100" s="13">
        <f>VLOOKUP(B100,'[1]24.10.07'!$E:$I,5,0)</f>
        <v>30000</v>
      </c>
      <c r="F100" s="7">
        <f t="shared" si="0"/>
        <v>12900</v>
      </c>
    </row>
    <row r="101" spans="1:6" x14ac:dyDescent="0.3">
      <c r="A101" s="39"/>
      <c r="B101" s="14">
        <v>8809664988950</v>
      </c>
      <c r="C101" s="48" t="s">
        <v>74</v>
      </c>
      <c r="D101" s="16">
        <v>20</v>
      </c>
      <c r="E101" s="17">
        <f>VLOOKUP(B101,'[1]24.10.07'!$E:$I,5,0)</f>
        <v>20000</v>
      </c>
      <c r="F101" s="18">
        <f t="shared" si="0"/>
        <v>8600</v>
      </c>
    </row>
    <row r="102" spans="1:6" x14ac:dyDescent="0.3">
      <c r="A102" s="39"/>
      <c r="B102" s="14">
        <v>8809664988967</v>
      </c>
      <c r="C102" s="55" t="s">
        <v>50</v>
      </c>
      <c r="D102" s="16">
        <v>50</v>
      </c>
      <c r="E102" s="17">
        <f>VLOOKUP(B102,'[1]24.10.07'!$E:$I,5,0)</f>
        <v>20000</v>
      </c>
      <c r="F102" s="18">
        <f t="shared" si="0"/>
        <v>8600</v>
      </c>
    </row>
    <row r="103" spans="1:6" x14ac:dyDescent="0.3">
      <c r="A103" s="39"/>
      <c r="B103" s="14">
        <v>8809939530341</v>
      </c>
      <c r="C103" s="48" t="s">
        <v>114</v>
      </c>
      <c r="D103" s="16">
        <v>20</v>
      </c>
      <c r="E103" s="17">
        <v>18000</v>
      </c>
      <c r="F103" s="18">
        <f t="shared" si="0"/>
        <v>7740</v>
      </c>
    </row>
    <row r="104" spans="1:6" x14ac:dyDescent="0.3">
      <c r="A104" s="39"/>
      <c r="B104" s="14">
        <v>8809664989162</v>
      </c>
      <c r="C104" s="48" t="s">
        <v>75</v>
      </c>
      <c r="D104" s="16">
        <v>20</v>
      </c>
      <c r="E104" s="17">
        <f>VLOOKUP(B104,'[1]24.10.07'!$E:$I,5,0)</f>
        <v>18000</v>
      </c>
      <c r="F104" s="18">
        <f t="shared" si="0"/>
        <v>7740</v>
      </c>
    </row>
    <row r="105" spans="1:6" x14ac:dyDescent="0.3">
      <c r="A105" s="39"/>
      <c r="B105" s="14">
        <v>8809664989179</v>
      </c>
      <c r="C105" s="55" t="s">
        <v>76</v>
      </c>
      <c r="D105" s="16">
        <v>40</v>
      </c>
      <c r="E105" s="17">
        <f>VLOOKUP(B105,'[1]24.10.07'!$E:$I,5,0)</f>
        <v>18000</v>
      </c>
      <c r="F105" s="18">
        <f t="shared" si="0"/>
        <v>7740</v>
      </c>
    </row>
    <row r="106" spans="1:6" x14ac:dyDescent="0.3">
      <c r="A106" s="39"/>
      <c r="B106" s="14">
        <v>8809939530990</v>
      </c>
      <c r="C106" s="48" t="s">
        <v>12</v>
      </c>
      <c r="D106" s="16">
        <v>20</v>
      </c>
      <c r="E106" s="17">
        <f>VLOOKUP(B106,'[1]24.10.07'!$E:$I,5,0)</f>
        <v>18000</v>
      </c>
      <c r="F106" s="18">
        <f t="shared" si="0"/>
        <v>7740</v>
      </c>
    </row>
    <row r="107" spans="1:6" x14ac:dyDescent="0.3">
      <c r="A107" s="39"/>
      <c r="B107" s="14">
        <v>8809939531010</v>
      </c>
      <c r="C107" s="55" t="s">
        <v>14</v>
      </c>
      <c r="D107" s="16">
        <v>40</v>
      </c>
      <c r="E107" s="17">
        <f>VLOOKUP(B107,'[1]24.10.07'!$E:$I,5,0)</f>
        <v>18000</v>
      </c>
      <c r="F107" s="18">
        <f t="shared" si="0"/>
        <v>7740</v>
      </c>
    </row>
    <row r="108" spans="1:6" x14ac:dyDescent="0.3">
      <c r="A108" s="39"/>
      <c r="B108" s="4">
        <v>8809939531461</v>
      </c>
      <c r="C108" s="5" t="s">
        <v>77</v>
      </c>
      <c r="D108" s="6">
        <v>20</v>
      </c>
      <c r="E108" s="13">
        <f>VLOOKUP(B108,'[1]24.10.07'!$E:$I,5,0)</f>
        <v>19000</v>
      </c>
      <c r="F108" s="7">
        <f t="shared" si="0"/>
        <v>8170</v>
      </c>
    </row>
    <row r="109" spans="1:6" x14ac:dyDescent="0.3">
      <c r="A109" s="39"/>
      <c r="B109" s="4">
        <v>8809939531478</v>
      </c>
      <c r="C109" s="5" t="s">
        <v>32</v>
      </c>
      <c r="D109" s="6">
        <v>20</v>
      </c>
      <c r="E109" s="13">
        <f>VLOOKUP(B109,'[1]24.10.07'!$E:$I,5,0)</f>
        <v>19000</v>
      </c>
      <c r="F109" s="7">
        <f t="shared" si="0"/>
        <v>8170</v>
      </c>
    </row>
    <row r="110" spans="1:6" x14ac:dyDescent="0.3">
      <c r="A110" s="39"/>
      <c r="B110" s="14">
        <v>8809939531485</v>
      </c>
      <c r="C110" s="55" t="s">
        <v>44</v>
      </c>
      <c r="D110" s="16">
        <v>20</v>
      </c>
      <c r="E110" s="17">
        <f>VLOOKUP(B110,'[1]24.10.07'!$E:$I,5,0)</f>
        <v>19000</v>
      </c>
      <c r="F110" s="18">
        <f t="shared" si="0"/>
        <v>8170</v>
      </c>
    </row>
    <row r="111" spans="1:6" x14ac:dyDescent="0.3">
      <c r="A111" s="39"/>
      <c r="B111" s="14">
        <v>8809939531492</v>
      </c>
      <c r="C111" s="48" t="s">
        <v>78</v>
      </c>
      <c r="D111" s="16">
        <v>20</v>
      </c>
      <c r="E111" s="17">
        <f>VLOOKUP(B111,'[1]24.10.07'!$E:$I,5,0)</f>
        <v>19000</v>
      </c>
      <c r="F111" s="18">
        <f t="shared" si="0"/>
        <v>8170</v>
      </c>
    </row>
    <row r="112" spans="1:6" x14ac:dyDescent="0.3">
      <c r="A112" s="39"/>
      <c r="B112" s="14">
        <v>8809939531508</v>
      </c>
      <c r="C112" s="48" t="s">
        <v>54</v>
      </c>
      <c r="D112" s="16">
        <v>40</v>
      </c>
      <c r="E112" s="17">
        <f>VLOOKUP(B112,'[1]24.10.07'!$E:$I,5,0)</f>
        <v>19000</v>
      </c>
      <c r="F112" s="18">
        <f t="shared" si="0"/>
        <v>8170</v>
      </c>
    </row>
    <row r="113" spans="1:6" x14ac:dyDescent="0.3">
      <c r="A113" s="39"/>
      <c r="B113" s="14">
        <v>8809939531515</v>
      </c>
      <c r="C113" s="48" t="s">
        <v>79</v>
      </c>
      <c r="D113" s="16">
        <v>40</v>
      </c>
      <c r="E113" s="17">
        <f>VLOOKUP(B113,'[1]24.10.07'!$E:$I,5,0)</f>
        <v>19000</v>
      </c>
      <c r="F113" s="18">
        <f t="shared" si="0"/>
        <v>8170</v>
      </c>
    </row>
    <row r="114" spans="1:6" x14ac:dyDescent="0.3">
      <c r="A114" s="39"/>
      <c r="B114" s="14">
        <v>8809939531522</v>
      </c>
      <c r="C114" s="48" t="s">
        <v>55</v>
      </c>
      <c r="D114" s="16">
        <v>40</v>
      </c>
      <c r="E114" s="17">
        <f>VLOOKUP(B114,'[1]24.10.07'!$E:$I,5,0)</f>
        <v>19000</v>
      </c>
      <c r="F114" s="18">
        <f t="shared" si="0"/>
        <v>8170</v>
      </c>
    </row>
    <row r="115" spans="1:6" x14ac:dyDescent="0.3">
      <c r="A115" s="39"/>
      <c r="B115" s="14">
        <v>8809939531072</v>
      </c>
      <c r="C115" s="48" t="s">
        <v>80</v>
      </c>
      <c r="D115" s="16">
        <v>40</v>
      </c>
      <c r="E115" s="17">
        <f>VLOOKUP(B115,'[1]24.10.07'!$E:$I,5,0)</f>
        <v>18000</v>
      </c>
      <c r="F115" s="18">
        <f t="shared" si="0"/>
        <v>7740</v>
      </c>
    </row>
    <row r="116" spans="1:6" x14ac:dyDescent="0.3">
      <c r="A116" s="39"/>
      <c r="B116" s="14">
        <v>8809939531089</v>
      </c>
      <c r="C116" s="55" t="s">
        <v>81</v>
      </c>
      <c r="D116" s="16">
        <v>40</v>
      </c>
      <c r="E116" s="17">
        <f>VLOOKUP(B116,'[1]24.10.07'!$E:$I,5,0)</f>
        <v>18000</v>
      </c>
      <c r="F116" s="18">
        <f t="shared" si="0"/>
        <v>7740</v>
      </c>
    </row>
    <row r="117" spans="1:6" x14ac:dyDescent="0.3">
      <c r="A117" s="39"/>
      <c r="B117" s="14">
        <v>8809939531096</v>
      </c>
      <c r="C117" s="48" t="s">
        <v>82</v>
      </c>
      <c r="D117" s="16">
        <v>40</v>
      </c>
      <c r="E117" s="17">
        <f>VLOOKUP(B117,'[1]24.10.07'!$E:$I,5,0)</f>
        <v>18000</v>
      </c>
      <c r="F117" s="18">
        <f t="shared" si="0"/>
        <v>7740</v>
      </c>
    </row>
    <row r="118" spans="1:6" x14ac:dyDescent="0.3">
      <c r="A118" s="39"/>
      <c r="B118" s="14">
        <v>8809939531102</v>
      </c>
      <c r="C118" s="48" t="s">
        <v>83</v>
      </c>
      <c r="D118" s="16">
        <v>40</v>
      </c>
      <c r="E118" s="17">
        <f>VLOOKUP(B118,'[1]24.10.07'!$E:$I,5,0)</f>
        <v>18000</v>
      </c>
      <c r="F118" s="18">
        <f t="shared" si="0"/>
        <v>7740</v>
      </c>
    </row>
    <row r="119" spans="1:6" x14ac:dyDescent="0.3">
      <c r="A119" s="39"/>
      <c r="B119" s="14">
        <v>8809939531119</v>
      </c>
      <c r="C119" s="48" t="s">
        <v>84</v>
      </c>
      <c r="D119" s="16">
        <v>40</v>
      </c>
      <c r="E119" s="17">
        <f>VLOOKUP(B119,'[1]24.10.07'!$E:$I,5,0)</f>
        <v>18000</v>
      </c>
      <c r="F119" s="18">
        <f t="shared" si="0"/>
        <v>7740</v>
      </c>
    </row>
    <row r="120" spans="1:6" x14ac:dyDescent="0.3">
      <c r="A120" s="39"/>
      <c r="B120" s="4">
        <v>8809939531126</v>
      </c>
      <c r="C120" s="5" t="s">
        <v>85</v>
      </c>
      <c r="D120" s="6">
        <v>20</v>
      </c>
      <c r="E120" s="13">
        <f>VLOOKUP(B120,'[1]24.10.07'!$E:$I,5,0)</f>
        <v>39000</v>
      </c>
      <c r="F120" s="7">
        <f t="shared" si="0"/>
        <v>16770</v>
      </c>
    </row>
    <row r="121" spans="1:6" x14ac:dyDescent="0.3">
      <c r="A121" s="39"/>
      <c r="B121" s="4">
        <v>8809939531133</v>
      </c>
      <c r="C121" s="5" t="s">
        <v>86</v>
      </c>
      <c r="D121" s="6">
        <v>40</v>
      </c>
      <c r="E121" s="13">
        <f>VLOOKUP(B121,'[1]24.10.07'!$E:$I,5,0)</f>
        <v>39000</v>
      </c>
      <c r="F121" s="7">
        <f t="shared" si="0"/>
        <v>16770</v>
      </c>
    </row>
    <row r="122" spans="1:6" x14ac:dyDescent="0.3">
      <c r="A122" s="39"/>
      <c r="B122" s="4">
        <v>8809939531140</v>
      </c>
      <c r="C122" s="5" t="s">
        <v>87</v>
      </c>
      <c r="D122" s="6">
        <v>40</v>
      </c>
      <c r="E122" s="13">
        <f>VLOOKUP(B122,'[1]24.10.07'!$E:$I,5,0)</f>
        <v>39000</v>
      </c>
      <c r="F122" s="7">
        <f t="shared" si="0"/>
        <v>16770</v>
      </c>
    </row>
    <row r="123" spans="1:6" x14ac:dyDescent="0.3">
      <c r="A123" s="39"/>
      <c r="B123" s="4">
        <v>8809939531157</v>
      </c>
      <c r="C123" s="5" t="s">
        <v>88</v>
      </c>
      <c r="D123" s="6">
        <v>20</v>
      </c>
      <c r="E123" s="13">
        <f>VLOOKUP(B123,'[1]24.10.07'!$E:$I,5,0)</f>
        <v>39000</v>
      </c>
      <c r="F123" s="7">
        <f t="shared" si="0"/>
        <v>16770</v>
      </c>
    </row>
    <row r="124" spans="1:6" x14ac:dyDescent="0.3">
      <c r="A124" s="39"/>
      <c r="B124" s="56">
        <v>8809664980916</v>
      </c>
      <c r="C124" s="57" t="s">
        <v>37</v>
      </c>
      <c r="D124" s="6">
        <v>20</v>
      </c>
      <c r="E124" s="13">
        <f>VLOOKUP(B124,'[1]24.10.07'!$E:$I,5,0)</f>
        <v>24000</v>
      </c>
      <c r="F124" s="7">
        <f t="shared" si="0"/>
        <v>10320</v>
      </c>
    </row>
    <row r="125" spans="1:6" x14ac:dyDescent="0.3">
      <c r="A125" s="39"/>
      <c r="B125" s="4">
        <v>8809664982453</v>
      </c>
      <c r="C125" s="5" t="s">
        <v>40</v>
      </c>
      <c r="D125" s="6">
        <v>20</v>
      </c>
      <c r="E125" s="13">
        <f>VLOOKUP(B125,'[1]24.10.07'!$E:$I,5,0)</f>
        <v>18000</v>
      </c>
      <c r="F125" s="7">
        <f t="shared" si="0"/>
        <v>7740</v>
      </c>
    </row>
    <row r="126" spans="1:6" x14ac:dyDescent="0.3">
      <c r="A126" s="39"/>
      <c r="B126" s="4">
        <v>8809664988769</v>
      </c>
      <c r="C126" s="5" t="s">
        <v>52</v>
      </c>
      <c r="D126" s="6">
        <v>20</v>
      </c>
      <c r="E126" s="13">
        <f>VLOOKUP(B126,'[1]24.10.07'!$E:$I,5,0)</f>
        <v>18000</v>
      </c>
      <c r="F126" s="7">
        <f t="shared" si="0"/>
        <v>7740</v>
      </c>
    </row>
    <row r="127" spans="1:6" x14ac:dyDescent="0.3">
      <c r="A127" s="39"/>
      <c r="B127" s="4">
        <v>8809664988776</v>
      </c>
      <c r="C127" s="5" t="s">
        <v>53</v>
      </c>
      <c r="D127" s="6">
        <v>20</v>
      </c>
      <c r="E127" s="13">
        <f>VLOOKUP(B127,'[1]24.10.07'!$E:$I,5,0)</f>
        <v>18000</v>
      </c>
      <c r="F127" s="7">
        <f t="shared" si="0"/>
        <v>7740</v>
      </c>
    </row>
    <row r="128" spans="1:6" x14ac:dyDescent="0.3">
      <c r="A128" s="39"/>
      <c r="B128" s="4">
        <v>8809939531478</v>
      </c>
      <c r="C128" s="5" t="s">
        <v>32</v>
      </c>
      <c r="D128" s="6">
        <v>90</v>
      </c>
      <c r="E128" s="13">
        <f>VLOOKUP(B128,'[1]24.10.07'!$E:$I,5,0)</f>
        <v>19000</v>
      </c>
      <c r="F128" s="7">
        <f t="shared" si="0"/>
        <v>8170</v>
      </c>
    </row>
    <row r="129" spans="1:6" x14ac:dyDescent="0.3">
      <c r="A129" s="39"/>
      <c r="B129" s="14">
        <v>8809939531485</v>
      </c>
      <c r="C129" s="48" t="s">
        <v>44</v>
      </c>
      <c r="D129" s="16">
        <v>100</v>
      </c>
      <c r="E129" s="17">
        <f>VLOOKUP(B129,'[1]24.10.07'!$E:$I,5,0)</f>
        <v>19000</v>
      </c>
      <c r="F129" s="18">
        <f t="shared" si="0"/>
        <v>8170</v>
      </c>
    </row>
    <row r="130" spans="1:6" x14ac:dyDescent="0.3">
      <c r="A130" s="39"/>
      <c r="B130" s="4">
        <v>8809939531508</v>
      </c>
      <c r="C130" s="5" t="s">
        <v>54</v>
      </c>
      <c r="D130" s="6">
        <v>90</v>
      </c>
      <c r="E130" s="13">
        <f>VLOOKUP(B130,'[1]24.10.07'!$E:$I,5,0)</f>
        <v>19000</v>
      </c>
      <c r="F130" s="7">
        <f t="shared" si="0"/>
        <v>8170</v>
      </c>
    </row>
    <row r="131" spans="1:6" x14ac:dyDescent="0.3">
      <c r="A131" s="39"/>
      <c r="B131" s="4">
        <v>8809939531522</v>
      </c>
      <c r="C131" s="5" t="s">
        <v>55</v>
      </c>
      <c r="D131" s="6">
        <v>90</v>
      </c>
      <c r="E131" s="13">
        <f>VLOOKUP(B131,'[1]24.10.07'!$E:$I,5,0)</f>
        <v>19000</v>
      </c>
      <c r="F131" s="7">
        <f t="shared" ref="F131:F164" si="1">E131*0.43</f>
        <v>8170</v>
      </c>
    </row>
    <row r="132" spans="1:6" x14ac:dyDescent="0.3">
      <c r="A132" s="39"/>
      <c r="B132" s="4">
        <v>8809939531157</v>
      </c>
      <c r="C132" s="5" t="s">
        <v>88</v>
      </c>
      <c r="D132" s="6">
        <v>20</v>
      </c>
      <c r="E132" s="13">
        <f>VLOOKUP(B132,'[1]24.10.07'!$E:$I,5,0)</f>
        <v>39000</v>
      </c>
      <c r="F132" s="7">
        <f t="shared" si="1"/>
        <v>16770</v>
      </c>
    </row>
    <row r="133" spans="1:6" x14ac:dyDescent="0.3">
      <c r="A133" s="39"/>
      <c r="B133" s="4">
        <v>8809939531164</v>
      </c>
      <c r="C133" s="5" t="s">
        <v>89</v>
      </c>
      <c r="D133" s="6">
        <v>20</v>
      </c>
      <c r="E133" s="13">
        <f>VLOOKUP(B133,'[1]24.10.07'!$E:$I,5,0)</f>
        <v>39000</v>
      </c>
      <c r="F133" s="7">
        <f t="shared" si="1"/>
        <v>16770</v>
      </c>
    </row>
    <row r="134" spans="1:6" x14ac:dyDescent="0.3">
      <c r="A134" s="39"/>
      <c r="B134" s="4">
        <v>8809939531171</v>
      </c>
      <c r="C134" s="5" t="s">
        <v>90</v>
      </c>
      <c r="D134" s="6">
        <v>20</v>
      </c>
      <c r="E134" s="13">
        <f>VLOOKUP(B134,'[1]24.10.07'!$E:$I,5,0)</f>
        <v>39000</v>
      </c>
      <c r="F134" s="7">
        <f t="shared" si="1"/>
        <v>16770</v>
      </c>
    </row>
    <row r="135" spans="1:6" x14ac:dyDescent="0.3">
      <c r="A135" s="39"/>
      <c r="B135" s="4">
        <v>8809939531898</v>
      </c>
      <c r="C135" s="5" t="s">
        <v>91</v>
      </c>
      <c r="D135" s="6">
        <v>340</v>
      </c>
      <c r="E135" s="13">
        <f>VLOOKUP(B135,'[1]24.10.07'!$E:$I,5,0)</f>
        <v>39000</v>
      </c>
      <c r="F135" s="7">
        <f t="shared" si="1"/>
        <v>16770</v>
      </c>
    </row>
    <row r="136" spans="1:6" x14ac:dyDescent="0.3">
      <c r="A136" s="39"/>
      <c r="B136" s="14">
        <v>8809939531911</v>
      </c>
      <c r="C136" s="48" t="s">
        <v>92</v>
      </c>
      <c r="D136" s="16">
        <v>260</v>
      </c>
      <c r="E136" s="17">
        <f>VLOOKUP(B136,'[1]24.10.07'!$E:$I,5,0)</f>
        <v>49000</v>
      </c>
      <c r="F136" s="18">
        <f t="shared" si="1"/>
        <v>21070</v>
      </c>
    </row>
    <row r="137" spans="1:6" x14ac:dyDescent="0.3">
      <c r="A137" s="39"/>
      <c r="B137" s="14">
        <v>8809939531935</v>
      </c>
      <c r="C137" s="48" t="s">
        <v>93</v>
      </c>
      <c r="D137" s="16">
        <v>380</v>
      </c>
      <c r="E137" s="17">
        <f>VLOOKUP(B137,'[1]24.10.07'!$E:$I,5,0)</f>
        <v>20000</v>
      </c>
      <c r="F137" s="18">
        <f t="shared" si="1"/>
        <v>8600</v>
      </c>
    </row>
    <row r="138" spans="1:6" x14ac:dyDescent="0.3">
      <c r="A138" s="39"/>
      <c r="B138" s="23">
        <v>8809939531942</v>
      </c>
      <c r="C138" s="49" t="s">
        <v>94</v>
      </c>
      <c r="D138" s="24">
        <v>200</v>
      </c>
      <c r="E138" s="25">
        <f>VLOOKUP(B138,'[1]24.10.07'!$E:$I,5,0)</f>
        <v>17000</v>
      </c>
      <c r="F138" s="26">
        <f t="shared" si="1"/>
        <v>7310</v>
      </c>
    </row>
    <row r="139" spans="1:6" x14ac:dyDescent="0.3">
      <c r="A139" s="39"/>
      <c r="B139" s="14">
        <v>8809939531959</v>
      </c>
      <c r="C139" s="48" t="s">
        <v>95</v>
      </c>
      <c r="D139" s="16">
        <v>200</v>
      </c>
      <c r="E139" s="17">
        <f>VLOOKUP(B139,'[1]24.10.07'!$E:$I,5,0)</f>
        <v>17000</v>
      </c>
      <c r="F139" s="18">
        <f t="shared" si="1"/>
        <v>7310</v>
      </c>
    </row>
    <row r="140" spans="1:6" x14ac:dyDescent="0.3">
      <c r="A140" s="39"/>
      <c r="B140" s="14">
        <v>8809939531966</v>
      </c>
      <c r="C140" s="15" t="s">
        <v>96</v>
      </c>
      <c r="D140" s="16">
        <v>200</v>
      </c>
      <c r="E140" s="17">
        <f>VLOOKUP(B140,'[1]24.10.07'!$E:$I,5,0)</f>
        <v>17000</v>
      </c>
      <c r="F140" s="18">
        <f t="shared" si="1"/>
        <v>7310</v>
      </c>
    </row>
    <row r="141" spans="1:6" x14ac:dyDescent="0.3">
      <c r="A141" s="39"/>
      <c r="B141" s="14">
        <v>8809939531973</v>
      </c>
      <c r="C141" s="48" t="s">
        <v>97</v>
      </c>
      <c r="D141" s="16">
        <v>170</v>
      </c>
      <c r="E141" s="17">
        <f>VLOOKUP(B141,'[1]24.10.07'!$E:$I,5,0)</f>
        <v>18000</v>
      </c>
      <c r="F141" s="18">
        <f t="shared" si="1"/>
        <v>7740</v>
      </c>
    </row>
    <row r="142" spans="1:6" x14ac:dyDescent="0.3">
      <c r="A142" s="39"/>
      <c r="B142" s="14">
        <v>8809939531980</v>
      </c>
      <c r="C142" s="48" t="s">
        <v>98</v>
      </c>
      <c r="D142" s="16">
        <v>170</v>
      </c>
      <c r="E142" s="17">
        <f>VLOOKUP(B142,'[1]24.10.07'!$E:$I,5,0)</f>
        <v>18000</v>
      </c>
      <c r="F142" s="18">
        <f t="shared" si="1"/>
        <v>7740</v>
      </c>
    </row>
    <row r="143" spans="1:6" x14ac:dyDescent="0.3">
      <c r="A143" s="39"/>
      <c r="B143" s="14">
        <v>8809939531997</v>
      </c>
      <c r="C143" s="48" t="s">
        <v>99</v>
      </c>
      <c r="D143" s="16">
        <v>260</v>
      </c>
      <c r="E143" s="17">
        <f>VLOOKUP(B143,'[1]24.10.07'!$E:$I,5,0)</f>
        <v>18000</v>
      </c>
      <c r="F143" s="18">
        <f t="shared" si="1"/>
        <v>7740</v>
      </c>
    </row>
    <row r="144" spans="1:6" x14ac:dyDescent="0.3">
      <c r="A144" s="39"/>
      <c r="B144" s="23">
        <v>8809939532000</v>
      </c>
      <c r="C144" s="49" t="s">
        <v>100</v>
      </c>
      <c r="D144" s="24">
        <v>260</v>
      </c>
      <c r="E144" s="25">
        <f>VLOOKUP(B144,'[1]24.10.07'!$E:$I,5,0)</f>
        <v>18000</v>
      </c>
      <c r="F144" s="26">
        <f t="shared" si="1"/>
        <v>7740</v>
      </c>
    </row>
    <row r="145" spans="1:6" x14ac:dyDescent="0.3">
      <c r="A145" s="39"/>
      <c r="B145" s="14">
        <v>8809939532017</v>
      </c>
      <c r="C145" s="48" t="s">
        <v>101</v>
      </c>
      <c r="D145" s="16">
        <v>220</v>
      </c>
      <c r="E145" s="17">
        <f>VLOOKUP(B145,'[1]24.10.07'!$E:$I,5,0)</f>
        <v>20000</v>
      </c>
      <c r="F145" s="18">
        <f t="shared" si="1"/>
        <v>8600</v>
      </c>
    </row>
    <row r="146" spans="1:6" x14ac:dyDescent="0.3">
      <c r="A146" s="39"/>
      <c r="B146" s="14">
        <v>8809939532024</v>
      </c>
      <c r="C146" s="48" t="s">
        <v>102</v>
      </c>
      <c r="D146" s="16">
        <v>220</v>
      </c>
      <c r="E146" s="17">
        <f>VLOOKUP(B146,'[1]24.10.07'!$E:$I,5,0)</f>
        <v>20000</v>
      </c>
      <c r="F146" s="18">
        <f t="shared" si="1"/>
        <v>8600</v>
      </c>
    </row>
    <row r="147" spans="1:6" x14ac:dyDescent="0.3">
      <c r="A147" s="40"/>
      <c r="B147" s="4">
        <v>8809437399662</v>
      </c>
      <c r="C147" s="5" t="s">
        <v>35</v>
      </c>
      <c r="D147" s="6">
        <v>40</v>
      </c>
      <c r="E147" s="13">
        <f>VLOOKUP(B147,'[1]24.10.07'!$E:$I,5,0)</f>
        <v>39000</v>
      </c>
      <c r="F147" s="7">
        <f t="shared" si="1"/>
        <v>16770</v>
      </c>
    </row>
    <row r="148" spans="1:6" x14ac:dyDescent="0.3">
      <c r="A148" s="39"/>
      <c r="B148" s="14">
        <v>8809664983498</v>
      </c>
      <c r="C148" s="48" t="s">
        <v>65</v>
      </c>
      <c r="D148" s="16">
        <v>50</v>
      </c>
      <c r="E148" s="17">
        <f>VLOOKUP(B148,'[1]24.10.07'!$E:$I,5,0)</f>
        <v>18000</v>
      </c>
      <c r="F148" s="18">
        <f t="shared" si="1"/>
        <v>7740</v>
      </c>
    </row>
    <row r="149" spans="1:6" x14ac:dyDescent="0.3">
      <c r="A149" s="39"/>
      <c r="B149" s="14">
        <v>8809664983511</v>
      </c>
      <c r="C149" s="48" t="s">
        <v>26</v>
      </c>
      <c r="D149" s="16">
        <v>50</v>
      </c>
      <c r="E149" s="17">
        <f>VLOOKUP(B149,'[1]24.10.07'!$E:$I,5,0)</f>
        <v>18000</v>
      </c>
      <c r="F149" s="18">
        <f t="shared" si="1"/>
        <v>7740</v>
      </c>
    </row>
    <row r="150" spans="1:6" x14ac:dyDescent="0.3">
      <c r="A150" s="39"/>
      <c r="B150" s="4">
        <v>8809664983726</v>
      </c>
      <c r="C150" s="5" t="s">
        <v>103</v>
      </c>
      <c r="D150" s="6">
        <v>10</v>
      </c>
      <c r="E150" s="13">
        <f>VLOOKUP(B150,'[1]24.10.07'!$E:$I,5,0)</f>
        <v>17000</v>
      </c>
      <c r="F150" s="7">
        <f t="shared" si="1"/>
        <v>7310</v>
      </c>
    </row>
    <row r="151" spans="1:6" x14ac:dyDescent="0.3">
      <c r="A151" s="39"/>
      <c r="B151" s="4">
        <v>8809664983733</v>
      </c>
      <c r="C151" s="5" t="s">
        <v>104</v>
      </c>
      <c r="D151" s="6">
        <v>10</v>
      </c>
      <c r="E151" s="13">
        <f>VLOOKUP(B151,'[1]24.10.07'!$E:$I,5,0)</f>
        <v>17000</v>
      </c>
      <c r="F151" s="7">
        <f t="shared" si="1"/>
        <v>7310</v>
      </c>
    </row>
    <row r="152" spans="1:6" x14ac:dyDescent="0.3">
      <c r="A152" s="39"/>
      <c r="B152" s="4">
        <v>8809664983757</v>
      </c>
      <c r="C152" s="5" t="s">
        <v>105</v>
      </c>
      <c r="D152" s="6">
        <v>20</v>
      </c>
      <c r="E152" s="13">
        <f>VLOOKUP(B152,'[1]24.10.07'!$E:$I,5,0)</f>
        <v>17000</v>
      </c>
      <c r="F152" s="7">
        <f t="shared" si="1"/>
        <v>7310</v>
      </c>
    </row>
    <row r="153" spans="1:6" x14ac:dyDescent="0.3">
      <c r="A153" s="39"/>
      <c r="B153" s="50">
        <v>8809664982453</v>
      </c>
      <c r="C153" s="51" t="s">
        <v>40</v>
      </c>
      <c r="D153" s="52">
        <v>120</v>
      </c>
      <c r="E153" s="53">
        <f>VLOOKUP(B153,'[1]24.10.07'!$E:$I,5,0)</f>
        <v>18000</v>
      </c>
      <c r="F153" s="54">
        <f t="shared" si="1"/>
        <v>7740</v>
      </c>
    </row>
    <row r="154" spans="1:6" x14ac:dyDescent="0.3">
      <c r="A154" s="39"/>
      <c r="B154" s="50">
        <v>8809664983931</v>
      </c>
      <c r="C154" s="51" t="s">
        <v>27</v>
      </c>
      <c r="D154" s="52">
        <v>120</v>
      </c>
      <c r="E154" s="53">
        <f>VLOOKUP(B154,'[1]24.10.07'!$E:$I,5,0)</f>
        <v>18000</v>
      </c>
      <c r="F154" s="54">
        <f t="shared" si="1"/>
        <v>7740</v>
      </c>
    </row>
    <row r="155" spans="1:6" x14ac:dyDescent="0.3">
      <c r="A155" s="39"/>
      <c r="B155" s="4">
        <v>8809664982224</v>
      </c>
      <c r="C155" s="5" t="s">
        <v>29</v>
      </c>
      <c r="D155" s="6">
        <v>20</v>
      </c>
      <c r="E155" s="13">
        <f>VLOOKUP(B155,'[1]24.10.07'!$E:$I,5,0)</f>
        <v>39000</v>
      </c>
      <c r="F155" s="7">
        <f t="shared" si="1"/>
        <v>16770</v>
      </c>
    </row>
    <row r="156" spans="1:6" x14ac:dyDescent="0.3">
      <c r="A156" s="39"/>
      <c r="B156" s="4">
        <v>8809664987335</v>
      </c>
      <c r="C156" s="5" t="s">
        <v>51</v>
      </c>
      <c r="D156" s="6">
        <v>10</v>
      </c>
      <c r="E156" s="13">
        <f>VLOOKUP(B156,'[1]24.10.07'!$E:$I,5,0)</f>
        <v>17000</v>
      </c>
      <c r="F156" s="7">
        <f t="shared" si="1"/>
        <v>7310</v>
      </c>
    </row>
    <row r="157" spans="1:6" x14ac:dyDescent="0.3">
      <c r="A157" s="39"/>
      <c r="B157" s="4">
        <v>8809939531461</v>
      </c>
      <c r="C157" s="5" t="s">
        <v>77</v>
      </c>
      <c r="D157" s="6">
        <v>100</v>
      </c>
      <c r="E157" s="13">
        <f>VLOOKUP(B157,'[1]24.10.07'!$E:$I,5,0)</f>
        <v>19000</v>
      </c>
      <c r="F157" s="7">
        <f t="shared" si="1"/>
        <v>8170</v>
      </c>
    </row>
    <row r="158" spans="1:6" x14ac:dyDescent="0.3">
      <c r="A158" s="39"/>
      <c r="B158" s="4">
        <v>8809939531478</v>
      </c>
      <c r="C158" s="5" t="s">
        <v>32</v>
      </c>
      <c r="D158" s="6">
        <v>150</v>
      </c>
      <c r="E158" s="13">
        <f>VLOOKUP(B158,'[1]24.10.07'!$E:$I,5,0)</f>
        <v>19000</v>
      </c>
      <c r="F158" s="7">
        <f t="shared" si="1"/>
        <v>8170</v>
      </c>
    </row>
    <row r="159" spans="1:6" x14ac:dyDescent="0.3">
      <c r="A159" s="39"/>
      <c r="B159" s="4">
        <v>8809939531485</v>
      </c>
      <c r="C159" s="5" t="s">
        <v>44</v>
      </c>
      <c r="D159" s="6">
        <v>150</v>
      </c>
      <c r="E159" s="13">
        <f>VLOOKUP(B159,'[1]24.10.07'!$E:$I,5,0)</f>
        <v>19000</v>
      </c>
      <c r="F159" s="7">
        <f t="shared" si="1"/>
        <v>8170</v>
      </c>
    </row>
    <row r="160" spans="1:6" x14ac:dyDescent="0.3">
      <c r="A160" s="39"/>
      <c r="B160" s="4">
        <v>8809939531508</v>
      </c>
      <c r="C160" s="5" t="s">
        <v>54</v>
      </c>
      <c r="D160" s="6">
        <v>150</v>
      </c>
      <c r="E160" s="13">
        <f>VLOOKUP(B160,'[1]24.10.07'!$E:$I,5,0)</f>
        <v>19000</v>
      </c>
      <c r="F160" s="7">
        <f t="shared" si="1"/>
        <v>8170</v>
      </c>
    </row>
    <row r="161" spans="1:6" x14ac:dyDescent="0.3">
      <c r="A161" s="39"/>
      <c r="B161" s="4">
        <v>8809939531522</v>
      </c>
      <c r="C161" s="5" t="s">
        <v>55</v>
      </c>
      <c r="D161" s="6">
        <v>150</v>
      </c>
      <c r="E161" s="13">
        <f>VLOOKUP(B161,'[1]24.10.07'!$E:$I,5,0)</f>
        <v>19000</v>
      </c>
      <c r="F161" s="7">
        <f t="shared" si="1"/>
        <v>8170</v>
      </c>
    </row>
    <row r="162" spans="1:6" x14ac:dyDescent="0.3">
      <c r="A162" s="39"/>
      <c r="B162" s="4">
        <v>8809939531126</v>
      </c>
      <c r="C162" s="5" t="s">
        <v>119</v>
      </c>
      <c r="D162" s="6">
        <v>400</v>
      </c>
      <c r="E162" s="13">
        <f>VLOOKUP(B162,'[1]24.10.07'!$E:$I,5,0)</f>
        <v>39000</v>
      </c>
      <c r="F162" s="7">
        <f t="shared" si="1"/>
        <v>16770</v>
      </c>
    </row>
    <row r="163" spans="1:6" x14ac:dyDescent="0.3">
      <c r="A163" s="39"/>
      <c r="B163" s="4">
        <v>8809939531133</v>
      </c>
      <c r="C163" s="5" t="s">
        <v>120</v>
      </c>
      <c r="D163" s="6">
        <v>400</v>
      </c>
      <c r="E163" s="13">
        <f>VLOOKUP(B163,'[1]24.10.07'!$E:$I,5,0)</f>
        <v>39000</v>
      </c>
      <c r="F163" s="7">
        <f t="shared" si="1"/>
        <v>16770</v>
      </c>
    </row>
    <row r="164" spans="1:6" ht="17.25" thickBot="1" x14ac:dyDescent="0.35">
      <c r="A164" s="41"/>
      <c r="B164" s="42">
        <v>8809939531140</v>
      </c>
      <c r="C164" s="43" t="s">
        <v>121</v>
      </c>
      <c r="D164" s="44">
        <v>400</v>
      </c>
      <c r="E164" s="45">
        <v>39000</v>
      </c>
      <c r="F164" s="7">
        <f t="shared" si="1"/>
        <v>16770</v>
      </c>
    </row>
    <row r="165" spans="1:6" x14ac:dyDescent="0.3">
      <c r="A165" s="65">
        <v>11</v>
      </c>
      <c r="B165" s="46">
        <v>8809939531898</v>
      </c>
      <c r="C165" s="47" t="s">
        <v>91</v>
      </c>
      <c r="D165" s="36">
        <v>200</v>
      </c>
      <c r="E165" s="37">
        <v>39000</v>
      </c>
      <c r="F165" s="38">
        <f>E165*0.43</f>
        <v>16770</v>
      </c>
    </row>
    <row r="166" spans="1:6" x14ac:dyDescent="0.3">
      <c r="A166" s="39"/>
      <c r="B166" s="4">
        <v>8809939531911</v>
      </c>
      <c r="C166" s="5" t="s">
        <v>92</v>
      </c>
      <c r="D166" s="6">
        <v>100</v>
      </c>
      <c r="E166" s="13">
        <v>49000</v>
      </c>
      <c r="F166" s="7">
        <f>E166*0.43</f>
        <v>21070</v>
      </c>
    </row>
    <row r="167" spans="1:6" x14ac:dyDescent="0.3">
      <c r="A167" s="39"/>
      <c r="B167" s="14">
        <v>8809939531935</v>
      </c>
      <c r="C167" s="48" t="s">
        <v>93</v>
      </c>
      <c r="D167" s="16">
        <v>50</v>
      </c>
      <c r="E167" s="17">
        <v>20000</v>
      </c>
      <c r="F167" s="18">
        <f t="shared" ref="F167:F226" si="2">E167*0.43</f>
        <v>8600</v>
      </c>
    </row>
    <row r="168" spans="1:6" x14ac:dyDescent="0.3">
      <c r="A168" s="39"/>
      <c r="B168" s="14">
        <v>8809939531973</v>
      </c>
      <c r="C168" s="48" t="s">
        <v>97</v>
      </c>
      <c r="D168" s="16">
        <v>50</v>
      </c>
      <c r="E168" s="17">
        <v>18000</v>
      </c>
      <c r="F168" s="18">
        <f t="shared" si="2"/>
        <v>7740</v>
      </c>
    </row>
    <row r="169" spans="1:6" x14ac:dyDescent="0.3">
      <c r="A169" s="39"/>
      <c r="B169" s="14">
        <v>8809939531980</v>
      </c>
      <c r="C169" s="55" t="s">
        <v>98</v>
      </c>
      <c r="D169" s="16">
        <v>50</v>
      </c>
      <c r="E169" s="17">
        <v>18000</v>
      </c>
      <c r="F169" s="18">
        <f t="shared" si="2"/>
        <v>7740</v>
      </c>
    </row>
    <row r="170" spans="1:6" x14ac:dyDescent="0.3">
      <c r="A170" s="39"/>
      <c r="B170" s="14">
        <v>8809939531997</v>
      </c>
      <c r="C170" s="48" t="s">
        <v>99</v>
      </c>
      <c r="D170" s="16">
        <v>200</v>
      </c>
      <c r="E170" s="17">
        <v>18000</v>
      </c>
      <c r="F170" s="18">
        <f t="shared" si="2"/>
        <v>7740</v>
      </c>
    </row>
    <row r="171" spans="1:6" x14ac:dyDescent="0.3">
      <c r="A171" s="39"/>
      <c r="B171" s="14">
        <v>8809939532000</v>
      </c>
      <c r="C171" s="48" t="s">
        <v>100</v>
      </c>
      <c r="D171" s="16">
        <v>100</v>
      </c>
      <c r="E171" s="17">
        <v>18000</v>
      </c>
      <c r="F171" s="18">
        <f t="shared" si="2"/>
        <v>7740</v>
      </c>
    </row>
    <row r="172" spans="1:6" x14ac:dyDescent="0.3">
      <c r="A172" s="39"/>
      <c r="B172" s="4">
        <v>8809664983528</v>
      </c>
      <c r="C172" s="5" t="s">
        <v>19</v>
      </c>
      <c r="D172" s="6">
        <v>140</v>
      </c>
      <c r="E172" s="13">
        <v>24000</v>
      </c>
      <c r="F172" s="7">
        <f t="shared" si="2"/>
        <v>10320</v>
      </c>
    </row>
    <row r="173" spans="1:6" x14ac:dyDescent="0.3">
      <c r="A173" s="39"/>
      <c r="B173" s="14">
        <v>8809664982453</v>
      </c>
      <c r="C173" s="48" t="s">
        <v>40</v>
      </c>
      <c r="D173" s="16">
        <v>240</v>
      </c>
      <c r="E173" s="17">
        <v>18000</v>
      </c>
      <c r="F173" s="18">
        <f t="shared" si="2"/>
        <v>7740</v>
      </c>
    </row>
    <row r="174" spans="1:6" x14ac:dyDescent="0.3">
      <c r="A174" s="39"/>
      <c r="B174" s="14">
        <v>8809664983931</v>
      </c>
      <c r="C174" s="48" t="s">
        <v>27</v>
      </c>
      <c r="D174" s="16">
        <v>180</v>
      </c>
      <c r="E174" s="17">
        <v>18000</v>
      </c>
      <c r="F174" s="18">
        <f t="shared" si="2"/>
        <v>7740</v>
      </c>
    </row>
    <row r="175" spans="1:6" x14ac:dyDescent="0.3">
      <c r="A175" s="39"/>
      <c r="B175" s="4">
        <v>8809664985126</v>
      </c>
      <c r="C175" s="5" t="s">
        <v>41</v>
      </c>
      <c r="D175" s="6">
        <v>100</v>
      </c>
      <c r="E175" s="13">
        <v>17000</v>
      </c>
      <c r="F175" s="7">
        <f t="shared" si="2"/>
        <v>7310</v>
      </c>
    </row>
    <row r="176" spans="1:6" x14ac:dyDescent="0.3">
      <c r="A176" s="39"/>
      <c r="B176" s="4">
        <v>8809664980305</v>
      </c>
      <c r="C176" s="5" t="s">
        <v>106</v>
      </c>
      <c r="D176" s="6">
        <v>40</v>
      </c>
      <c r="E176" s="13">
        <v>19000</v>
      </c>
      <c r="F176" s="7">
        <f t="shared" si="2"/>
        <v>8170</v>
      </c>
    </row>
    <row r="177" spans="1:6" x14ac:dyDescent="0.3">
      <c r="A177" s="39"/>
      <c r="B177" s="4">
        <v>8809939531461</v>
      </c>
      <c r="C177" s="5" t="s">
        <v>77</v>
      </c>
      <c r="D177" s="6">
        <v>400</v>
      </c>
      <c r="E177" s="13">
        <v>19000</v>
      </c>
      <c r="F177" s="7">
        <f t="shared" si="2"/>
        <v>8170</v>
      </c>
    </row>
    <row r="178" spans="1:6" x14ac:dyDescent="0.3">
      <c r="A178" s="39"/>
      <c r="B178" s="4">
        <v>8809939531478</v>
      </c>
      <c r="C178" s="5" t="s">
        <v>32</v>
      </c>
      <c r="D178" s="6">
        <v>260</v>
      </c>
      <c r="E178" s="13">
        <v>19000</v>
      </c>
      <c r="F178" s="7">
        <f t="shared" si="2"/>
        <v>8170</v>
      </c>
    </row>
    <row r="179" spans="1:6" x14ac:dyDescent="0.3">
      <c r="A179" s="39"/>
      <c r="B179" s="4">
        <v>8809939531485</v>
      </c>
      <c r="C179" s="5" t="s">
        <v>44</v>
      </c>
      <c r="D179" s="6">
        <v>260</v>
      </c>
      <c r="E179" s="13">
        <v>19000</v>
      </c>
      <c r="F179" s="7">
        <f t="shared" si="2"/>
        <v>8170</v>
      </c>
    </row>
    <row r="180" spans="1:6" x14ac:dyDescent="0.3">
      <c r="A180" s="39"/>
      <c r="B180" s="4">
        <v>8809939531492</v>
      </c>
      <c r="C180" s="5" t="s">
        <v>78</v>
      </c>
      <c r="D180" s="6">
        <v>300</v>
      </c>
      <c r="E180" s="13">
        <v>19000</v>
      </c>
      <c r="F180" s="7">
        <f t="shared" si="2"/>
        <v>8170</v>
      </c>
    </row>
    <row r="181" spans="1:6" x14ac:dyDescent="0.3">
      <c r="A181" s="39"/>
      <c r="B181" s="4">
        <v>8809939531508</v>
      </c>
      <c r="C181" s="5" t="s">
        <v>54</v>
      </c>
      <c r="D181" s="6">
        <v>520</v>
      </c>
      <c r="E181" s="13">
        <v>19000</v>
      </c>
      <c r="F181" s="7">
        <f t="shared" si="2"/>
        <v>8170</v>
      </c>
    </row>
    <row r="182" spans="1:6" x14ac:dyDescent="0.3">
      <c r="A182" s="39"/>
      <c r="B182" s="4">
        <v>8809939531515</v>
      </c>
      <c r="C182" s="5" t="s">
        <v>79</v>
      </c>
      <c r="D182" s="6">
        <v>470</v>
      </c>
      <c r="E182" s="13">
        <v>19000</v>
      </c>
      <c r="F182" s="7">
        <f t="shared" si="2"/>
        <v>8170</v>
      </c>
    </row>
    <row r="183" spans="1:6" x14ac:dyDescent="0.3">
      <c r="A183" s="39"/>
      <c r="B183" s="4">
        <v>8809939531522</v>
      </c>
      <c r="C183" s="5" t="s">
        <v>55</v>
      </c>
      <c r="D183" s="6">
        <v>300</v>
      </c>
      <c r="E183" s="13">
        <v>19000</v>
      </c>
      <c r="F183" s="7">
        <f t="shared" si="2"/>
        <v>8170</v>
      </c>
    </row>
    <row r="184" spans="1:6" x14ac:dyDescent="0.3">
      <c r="A184" s="39"/>
      <c r="B184" s="4">
        <v>8809939531898</v>
      </c>
      <c r="C184" s="5" t="s">
        <v>91</v>
      </c>
      <c r="D184" s="6">
        <v>280</v>
      </c>
      <c r="E184" s="13">
        <v>39000</v>
      </c>
      <c r="F184" s="7">
        <f t="shared" si="2"/>
        <v>16770</v>
      </c>
    </row>
    <row r="185" spans="1:6" x14ac:dyDescent="0.3">
      <c r="A185" s="39"/>
      <c r="B185" s="14">
        <v>8809939531966</v>
      </c>
      <c r="C185" s="15" t="s">
        <v>96</v>
      </c>
      <c r="D185" s="16">
        <v>280</v>
      </c>
      <c r="E185" s="17">
        <v>17000</v>
      </c>
      <c r="F185" s="18">
        <f t="shared" si="2"/>
        <v>7310</v>
      </c>
    </row>
    <row r="186" spans="1:6" x14ac:dyDescent="0.3">
      <c r="A186" s="39"/>
      <c r="B186" s="14">
        <v>8809939531980</v>
      </c>
      <c r="C186" s="48" t="s">
        <v>98</v>
      </c>
      <c r="D186" s="16">
        <v>270</v>
      </c>
      <c r="E186" s="17">
        <v>18000</v>
      </c>
      <c r="F186" s="18">
        <f t="shared" si="2"/>
        <v>7740</v>
      </c>
    </row>
    <row r="187" spans="1:6" x14ac:dyDescent="0.3">
      <c r="A187" s="39"/>
      <c r="B187" s="4">
        <v>8809664982453</v>
      </c>
      <c r="C187" s="5" t="s">
        <v>40</v>
      </c>
      <c r="D187" s="6">
        <v>120</v>
      </c>
      <c r="E187" s="13">
        <v>18000</v>
      </c>
      <c r="F187" s="7">
        <f t="shared" si="2"/>
        <v>7740</v>
      </c>
    </row>
    <row r="188" spans="1:6" x14ac:dyDescent="0.3">
      <c r="A188" s="39"/>
      <c r="B188" s="4">
        <v>8809664983931</v>
      </c>
      <c r="C188" s="5" t="s">
        <v>27</v>
      </c>
      <c r="D188" s="6">
        <v>120</v>
      </c>
      <c r="E188" s="13">
        <v>18000</v>
      </c>
      <c r="F188" s="7">
        <f t="shared" si="2"/>
        <v>7740</v>
      </c>
    </row>
    <row r="189" spans="1:6" x14ac:dyDescent="0.3">
      <c r="A189" s="39"/>
      <c r="B189" s="4">
        <v>8809437390935</v>
      </c>
      <c r="C189" s="5" t="s">
        <v>42</v>
      </c>
      <c r="D189" s="6">
        <v>25</v>
      </c>
      <c r="E189" s="13">
        <v>13000</v>
      </c>
      <c r="F189" s="7">
        <f t="shared" si="2"/>
        <v>5590</v>
      </c>
    </row>
    <row r="190" spans="1:6" x14ac:dyDescent="0.3">
      <c r="A190" s="39"/>
      <c r="B190" s="4">
        <v>8809939531898</v>
      </c>
      <c r="C190" s="5" t="s">
        <v>91</v>
      </c>
      <c r="D190" s="6">
        <v>20</v>
      </c>
      <c r="E190" s="13">
        <v>39000</v>
      </c>
      <c r="F190" s="7">
        <f t="shared" si="2"/>
        <v>16770</v>
      </c>
    </row>
    <row r="191" spans="1:6" x14ac:dyDescent="0.3">
      <c r="A191" s="39"/>
      <c r="B191" s="4">
        <v>8809939531911</v>
      </c>
      <c r="C191" s="5" t="s">
        <v>92</v>
      </c>
      <c r="D191" s="6">
        <v>10</v>
      </c>
      <c r="E191" s="13">
        <v>49000</v>
      </c>
      <c r="F191" s="7">
        <f t="shared" si="2"/>
        <v>21070</v>
      </c>
    </row>
    <row r="192" spans="1:6" x14ac:dyDescent="0.3">
      <c r="A192" s="39"/>
      <c r="B192" s="14">
        <v>8809939531973</v>
      </c>
      <c r="C192" s="48" t="s">
        <v>97</v>
      </c>
      <c r="D192" s="16">
        <v>80</v>
      </c>
      <c r="E192" s="17">
        <v>18000</v>
      </c>
      <c r="F192" s="18">
        <f t="shared" si="2"/>
        <v>7740</v>
      </c>
    </row>
    <row r="193" spans="1:6" x14ac:dyDescent="0.3">
      <c r="A193" s="39"/>
      <c r="B193" s="14">
        <v>8809939531980</v>
      </c>
      <c r="C193" s="55" t="s">
        <v>98</v>
      </c>
      <c r="D193" s="16">
        <v>20</v>
      </c>
      <c r="E193" s="17">
        <v>18000</v>
      </c>
      <c r="F193" s="18">
        <f t="shared" si="2"/>
        <v>7740</v>
      </c>
    </row>
    <row r="194" spans="1:6" x14ac:dyDescent="0.3">
      <c r="A194" s="39"/>
      <c r="B194" s="14">
        <v>8809939531997</v>
      </c>
      <c r="C194" s="48" t="s">
        <v>99</v>
      </c>
      <c r="D194" s="16">
        <v>20</v>
      </c>
      <c r="E194" s="17">
        <v>18000</v>
      </c>
      <c r="F194" s="18">
        <f t="shared" si="2"/>
        <v>7740</v>
      </c>
    </row>
    <row r="195" spans="1:6" x14ac:dyDescent="0.3">
      <c r="A195" s="39"/>
      <c r="B195" s="14">
        <v>8809939532000</v>
      </c>
      <c r="C195" s="48" t="s">
        <v>100</v>
      </c>
      <c r="D195" s="16">
        <v>40</v>
      </c>
      <c r="E195" s="17">
        <v>18000</v>
      </c>
      <c r="F195" s="18">
        <f t="shared" si="2"/>
        <v>7740</v>
      </c>
    </row>
    <row r="196" spans="1:6" x14ac:dyDescent="0.3">
      <c r="A196" s="39"/>
      <c r="B196" s="14">
        <v>8809939532024</v>
      </c>
      <c r="C196" s="48" t="s">
        <v>102</v>
      </c>
      <c r="D196" s="16">
        <v>20</v>
      </c>
      <c r="E196" s="17">
        <v>20000</v>
      </c>
      <c r="F196" s="18">
        <f t="shared" si="2"/>
        <v>8600</v>
      </c>
    </row>
    <row r="197" spans="1:6" x14ac:dyDescent="0.3">
      <c r="A197" s="39"/>
      <c r="B197" s="4">
        <v>6902395972921</v>
      </c>
      <c r="C197" s="5" t="s">
        <v>107</v>
      </c>
      <c r="D197" s="6">
        <v>42</v>
      </c>
      <c r="E197" s="13">
        <v>22000</v>
      </c>
      <c r="F197" s="7">
        <f t="shared" si="2"/>
        <v>9460</v>
      </c>
    </row>
    <row r="198" spans="1:6" x14ac:dyDescent="0.3">
      <c r="A198" s="39"/>
      <c r="B198" s="4">
        <v>6902395972945</v>
      </c>
      <c r="C198" s="5" t="s">
        <v>108</v>
      </c>
      <c r="D198" s="6">
        <v>42</v>
      </c>
      <c r="E198" s="13">
        <v>22000</v>
      </c>
      <c r="F198" s="7">
        <f t="shared" si="2"/>
        <v>9460</v>
      </c>
    </row>
    <row r="199" spans="1:6" x14ac:dyDescent="0.3">
      <c r="A199" s="39"/>
      <c r="B199" s="4">
        <v>6902395972914</v>
      </c>
      <c r="C199" s="5" t="s">
        <v>109</v>
      </c>
      <c r="D199" s="6">
        <v>126</v>
      </c>
      <c r="E199" s="13">
        <v>22000</v>
      </c>
      <c r="F199" s="7">
        <f t="shared" si="2"/>
        <v>9460</v>
      </c>
    </row>
    <row r="200" spans="1:6" x14ac:dyDescent="0.3">
      <c r="A200" s="39"/>
      <c r="B200" s="4">
        <v>6902395972921</v>
      </c>
      <c r="C200" s="5" t="s">
        <v>107</v>
      </c>
      <c r="D200" s="6">
        <v>84</v>
      </c>
      <c r="E200" s="13">
        <v>22000</v>
      </c>
      <c r="F200" s="7">
        <f t="shared" si="2"/>
        <v>9460</v>
      </c>
    </row>
    <row r="201" spans="1:6" x14ac:dyDescent="0.3">
      <c r="A201" s="39"/>
      <c r="B201" s="4">
        <v>6902395972938</v>
      </c>
      <c r="C201" s="5" t="s">
        <v>110</v>
      </c>
      <c r="D201" s="6">
        <v>90</v>
      </c>
      <c r="E201" s="13">
        <v>22000</v>
      </c>
      <c r="F201" s="7">
        <f t="shared" si="2"/>
        <v>9460</v>
      </c>
    </row>
    <row r="202" spans="1:6" x14ac:dyDescent="0.3">
      <c r="A202" s="39"/>
      <c r="B202" s="4">
        <v>6902395972945</v>
      </c>
      <c r="C202" s="5" t="s">
        <v>108</v>
      </c>
      <c r="D202" s="6">
        <v>84</v>
      </c>
      <c r="E202" s="13">
        <v>22000</v>
      </c>
      <c r="F202" s="7">
        <f t="shared" si="2"/>
        <v>9460</v>
      </c>
    </row>
    <row r="203" spans="1:6" x14ac:dyDescent="0.3">
      <c r="A203" s="39"/>
      <c r="B203" s="4">
        <v>6902395972952</v>
      </c>
      <c r="C203" s="5" t="s">
        <v>111</v>
      </c>
      <c r="D203" s="6">
        <v>90</v>
      </c>
      <c r="E203" s="13">
        <v>22000</v>
      </c>
      <c r="F203" s="7">
        <f t="shared" si="2"/>
        <v>9460</v>
      </c>
    </row>
    <row r="204" spans="1:6" x14ac:dyDescent="0.3">
      <c r="A204" s="39"/>
      <c r="B204" s="14">
        <v>6902395972969</v>
      </c>
      <c r="C204" s="48" t="s">
        <v>112</v>
      </c>
      <c r="D204" s="16">
        <v>126</v>
      </c>
      <c r="E204" s="17">
        <v>22000</v>
      </c>
      <c r="F204" s="18">
        <f t="shared" si="2"/>
        <v>9460</v>
      </c>
    </row>
    <row r="205" spans="1:6" x14ac:dyDescent="0.3">
      <c r="A205" s="39"/>
      <c r="B205" s="4">
        <v>6902395972983</v>
      </c>
      <c r="C205" s="5" t="s">
        <v>113</v>
      </c>
      <c r="D205" s="6">
        <v>126</v>
      </c>
      <c r="E205" s="13">
        <v>22000</v>
      </c>
      <c r="F205" s="7">
        <f t="shared" si="2"/>
        <v>9460</v>
      </c>
    </row>
    <row r="206" spans="1:6" x14ac:dyDescent="0.3">
      <c r="A206" s="39"/>
      <c r="B206" s="14">
        <v>8809664983450</v>
      </c>
      <c r="C206" s="48" t="s">
        <v>62</v>
      </c>
      <c r="D206" s="16">
        <v>20</v>
      </c>
      <c r="E206" s="17">
        <v>18000</v>
      </c>
      <c r="F206" s="18">
        <f t="shared" si="2"/>
        <v>7740</v>
      </c>
    </row>
    <row r="207" spans="1:6" x14ac:dyDescent="0.3">
      <c r="A207" s="39"/>
      <c r="B207" s="14">
        <v>8809664983511</v>
      </c>
      <c r="C207" s="48" t="s">
        <v>26</v>
      </c>
      <c r="D207" s="16">
        <v>50</v>
      </c>
      <c r="E207" s="17">
        <v>18000</v>
      </c>
      <c r="F207" s="18">
        <f t="shared" si="2"/>
        <v>7740</v>
      </c>
    </row>
    <row r="208" spans="1:6" x14ac:dyDescent="0.3">
      <c r="A208" s="39"/>
      <c r="B208" s="14">
        <v>8809664984587</v>
      </c>
      <c r="C208" s="48" t="s">
        <v>43</v>
      </c>
      <c r="D208" s="16">
        <v>70</v>
      </c>
      <c r="E208" s="17">
        <v>30000</v>
      </c>
      <c r="F208" s="18">
        <f t="shared" si="2"/>
        <v>12900</v>
      </c>
    </row>
    <row r="209" spans="1:6" x14ac:dyDescent="0.3">
      <c r="A209" s="39"/>
      <c r="B209" s="14">
        <v>8809664985461</v>
      </c>
      <c r="C209" s="48" t="s">
        <v>68</v>
      </c>
      <c r="D209" s="16">
        <v>30</v>
      </c>
      <c r="E209" s="17">
        <v>18000</v>
      </c>
      <c r="F209" s="18">
        <f t="shared" si="2"/>
        <v>7740</v>
      </c>
    </row>
    <row r="210" spans="1:6" x14ac:dyDescent="0.3">
      <c r="A210" s="39"/>
      <c r="B210" s="4">
        <v>8809437390935</v>
      </c>
      <c r="C210" s="5" t="s">
        <v>42</v>
      </c>
      <c r="D210" s="6">
        <v>75</v>
      </c>
      <c r="E210" s="13">
        <v>13000</v>
      </c>
      <c r="F210" s="7">
        <f t="shared" si="2"/>
        <v>5590</v>
      </c>
    </row>
    <row r="211" spans="1:6" x14ac:dyDescent="0.3">
      <c r="A211" s="39"/>
      <c r="B211" s="4">
        <v>8809437394209</v>
      </c>
      <c r="C211" s="5" t="s">
        <v>23</v>
      </c>
      <c r="D211" s="6">
        <v>100</v>
      </c>
      <c r="E211" s="13">
        <v>13000</v>
      </c>
      <c r="F211" s="7">
        <f t="shared" si="2"/>
        <v>5590</v>
      </c>
    </row>
    <row r="212" spans="1:6" x14ac:dyDescent="0.3">
      <c r="A212" s="39"/>
      <c r="B212" s="4">
        <v>8809939531461</v>
      </c>
      <c r="C212" s="5" t="s">
        <v>77</v>
      </c>
      <c r="D212" s="6">
        <v>30</v>
      </c>
      <c r="E212" s="13">
        <v>19000</v>
      </c>
      <c r="F212" s="7">
        <f t="shared" si="2"/>
        <v>8170</v>
      </c>
    </row>
    <row r="213" spans="1:6" x14ac:dyDescent="0.3">
      <c r="A213" s="39"/>
      <c r="B213" s="4">
        <v>8809939531478</v>
      </c>
      <c r="C213" s="5" t="s">
        <v>32</v>
      </c>
      <c r="D213" s="6">
        <v>50</v>
      </c>
      <c r="E213" s="13">
        <v>19000</v>
      </c>
      <c r="F213" s="7">
        <f t="shared" si="2"/>
        <v>8170</v>
      </c>
    </row>
    <row r="214" spans="1:6" x14ac:dyDescent="0.3">
      <c r="A214" s="39"/>
      <c r="B214" s="4">
        <v>8809939531485</v>
      </c>
      <c r="C214" s="5" t="s">
        <v>44</v>
      </c>
      <c r="D214" s="6">
        <v>50</v>
      </c>
      <c r="E214" s="13">
        <v>19000</v>
      </c>
      <c r="F214" s="7">
        <f t="shared" si="2"/>
        <v>8170</v>
      </c>
    </row>
    <row r="215" spans="1:6" x14ac:dyDescent="0.3">
      <c r="A215" s="39"/>
      <c r="B215" s="4">
        <v>8809939531492</v>
      </c>
      <c r="C215" s="5" t="s">
        <v>78</v>
      </c>
      <c r="D215" s="6">
        <v>30</v>
      </c>
      <c r="E215" s="13">
        <v>19000</v>
      </c>
      <c r="F215" s="7">
        <f t="shared" si="2"/>
        <v>8170</v>
      </c>
    </row>
    <row r="216" spans="1:6" x14ac:dyDescent="0.3">
      <c r="A216" s="39"/>
      <c r="B216" s="4">
        <v>8809939531508</v>
      </c>
      <c r="C216" s="5" t="s">
        <v>54</v>
      </c>
      <c r="D216" s="6">
        <v>30</v>
      </c>
      <c r="E216" s="13">
        <v>19000</v>
      </c>
      <c r="F216" s="7">
        <f t="shared" si="2"/>
        <v>8170</v>
      </c>
    </row>
    <row r="217" spans="1:6" x14ac:dyDescent="0.3">
      <c r="A217" s="39"/>
      <c r="B217" s="4">
        <v>8809939531515</v>
      </c>
      <c r="C217" s="5" t="s">
        <v>79</v>
      </c>
      <c r="D217" s="6">
        <v>50</v>
      </c>
      <c r="E217" s="13">
        <v>19000</v>
      </c>
      <c r="F217" s="7">
        <f t="shared" si="2"/>
        <v>8170</v>
      </c>
    </row>
    <row r="218" spans="1:6" x14ac:dyDescent="0.3">
      <c r="A218" s="39"/>
      <c r="B218" s="4">
        <v>8809939531522</v>
      </c>
      <c r="C218" s="5" t="s">
        <v>55</v>
      </c>
      <c r="D218" s="6">
        <v>80</v>
      </c>
      <c r="E218" s="13">
        <v>19000</v>
      </c>
      <c r="F218" s="7">
        <f t="shared" si="2"/>
        <v>8170</v>
      </c>
    </row>
    <row r="219" spans="1:6" x14ac:dyDescent="0.3">
      <c r="A219" s="39"/>
      <c r="B219" s="4">
        <v>8809939531898</v>
      </c>
      <c r="C219" s="5" t="s">
        <v>115</v>
      </c>
      <c r="D219" s="6">
        <v>40</v>
      </c>
      <c r="E219" s="13">
        <v>39000</v>
      </c>
      <c r="F219" s="7">
        <f t="shared" si="2"/>
        <v>16770</v>
      </c>
    </row>
    <row r="220" spans="1:6" x14ac:dyDescent="0.3">
      <c r="A220" s="39"/>
      <c r="B220" s="4">
        <v>8809939531911</v>
      </c>
      <c r="C220" s="5" t="s">
        <v>116</v>
      </c>
      <c r="D220" s="6">
        <v>40</v>
      </c>
      <c r="E220" s="13">
        <v>49000</v>
      </c>
      <c r="F220" s="7">
        <f t="shared" si="2"/>
        <v>21070</v>
      </c>
    </row>
    <row r="221" spans="1:6" x14ac:dyDescent="0.3">
      <c r="A221" s="39"/>
      <c r="B221" s="14">
        <v>8809939531973</v>
      </c>
      <c r="C221" s="48" t="s">
        <v>97</v>
      </c>
      <c r="D221" s="16">
        <v>50</v>
      </c>
      <c r="E221" s="17">
        <v>18000</v>
      </c>
      <c r="F221" s="18">
        <f t="shared" si="2"/>
        <v>7740</v>
      </c>
    </row>
    <row r="222" spans="1:6" x14ac:dyDescent="0.3">
      <c r="A222" s="39"/>
      <c r="B222" s="14">
        <v>8809939531980</v>
      </c>
      <c r="C222" s="55" t="s">
        <v>98</v>
      </c>
      <c r="D222" s="16">
        <v>10</v>
      </c>
      <c r="E222" s="17">
        <v>18000</v>
      </c>
      <c r="F222" s="18">
        <f t="shared" si="2"/>
        <v>7740</v>
      </c>
    </row>
    <row r="223" spans="1:6" x14ac:dyDescent="0.3">
      <c r="A223" s="39"/>
      <c r="B223" s="14">
        <v>8809939532017</v>
      </c>
      <c r="C223" s="48" t="s">
        <v>101</v>
      </c>
      <c r="D223" s="16">
        <v>10</v>
      </c>
      <c r="E223" s="17">
        <v>20000</v>
      </c>
      <c r="F223" s="18">
        <f t="shared" si="2"/>
        <v>8600</v>
      </c>
    </row>
    <row r="224" spans="1:6" x14ac:dyDescent="0.3">
      <c r="A224" s="39"/>
      <c r="B224" s="14">
        <v>8809939532024</v>
      </c>
      <c r="C224" s="48" t="s">
        <v>102</v>
      </c>
      <c r="D224" s="16">
        <v>10</v>
      </c>
      <c r="E224" s="17">
        <v>20000</v>
      </c>
      <c r="F224" s="18">
        <f t="shared" si="2"/>
        <v>8600</v>
      </c>
    </row>
    <row r="225" spans="1:6" x14ac:dyDescent="0.3">
      <c r="A225" s="39"/>
      <c r="B225" s="4">
        <v>6902395972990</v>
      </c>
      <c r="C225" s="5" t="s">
        <v>117</v>
      </c>
      <c r="D225" s="6">
        <v>126</v>
      </c>
      <c r="E225" s="13">
        <v>22000</v>
      </c>
      <c r="F225" s="7">
        <f t="shared" si="2"/>
        <v>9460</v>
      </c>
    </row>
    <row r="226" spans="1:6" ht="17.25" thickBot="1" x14ac:dyDescent="0.35">
      <c r="A226" s="41"/>
      <c r="B226" s="42">
        <v>6902395973003</v>
      </c>
      <c r="C226" s="43" t="s">
        <v>118</v>
      </c>
      <c r="D226" s="44">
        <v>126</v>
      </c>
      <c r="E226" s="45">
        <v>22000</v>
      </c>
      <c r="F226" s="7">
        <f t="shared" si="2"/>
        <v>9460</v>
      </c>
    </row>
  </sheetData>
  <autoFilter ref="A65:F226" xr:uid="{00000000-0001-0000-0000-000000000000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</dc:creator>
  <cp:lastModifiedBy>gy0309@heuneui.com</cp:lastModifiedBy>
  <dcterms:created xsi:type="dcterms:W3CDTF">2015-06-05T18:19:34Z</dcterms:created>
  <dcterms:modified xsi:type="dcterms:W3CDTF">2025-11-13T01:26:42Z</dcterms:modified>
</cp:coreProperties>
</file>